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mc:AlternateContent xmlns:mc="http://schemas.openxmlformats.org/markup-compatibility/2006">
    <mc:Choice Requires="x15">
      <x15ac:absPath xmlns:x15ac="http://schemas.microsoft.com/office/spreadsheetml/2010/11/ac" url="C:\Users\alons\Desktop\"/>
    </mc:Choice>
  </mc:AlternateContent>
  <xr:revisionPtr revIDLastSave="256" documentId="13_ncr:1_{139691B8-52F2-4772-866A-DE608C149D86}" xr6:coauthVersionLast="47" xr6:coauthVersionMax="47" xr10:uidLastSave="{DCA76650-C19F-4330-BFEB-911898BC5A56}"/>
  <bookViews>
    <workbookView xWindow="0" yWindow="0" windowWidth="23040" windowHeight="8940" xr2:uid="{00000000-000D-0000-FFFF-FFFF00000000}"/>
  </bookViews>
  <sheets>
    <sheet name="Sprint Backlog" sheetId="1" r:id="rId1"/>
    <sheet name="Instructivo" sheetId="2" r:id="rId2"/>
  </sheets>
  <definedNames>
    <definedName name="_xlnm.Print_Area" localSheetId="1">Instructivo!$A$1:$D$15</definedName>
    <definedName name="_xlnm.Print_Area" localSheetId="0">'Sprint Backlog'!$A$1:$BR$10</definedName>
    <definedName name="_xlnm.Print_Titles" localSheetId="0">'Sprint Backlog'!$B:$F,'Sprint Backlog'!$1:$5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2" l="1"/>
  <c r="B5" i="2"/>
  <c r="BP8" i="1"/>
  <c r="BQ8" i="1" s="1"/>
  <c r="BP7" i="1"/>
  <c r="BQ7" i="1" s="1"/>
  <c r="BP6" i="1"/>
  <c r="BQ6" i="1" s="1"/>
  <c r="I8" i="1"/>
  <c r="L8" i="1" s="1"/>
  <c r="O8" i="1" s="1"/>
  <c r="R8" i="1" s="1"/>
  <c r="U8" i="1" s="1"/>
  <c r="X8" i="1" s="1"/>
  <c r="AA8" i="1" s="1"/>
  <c r="AD8" i="1" s="1"/>
  <c r="AG8" i="1" s="1"/>
  <c r="AJ8" i="1" s="1"/>
  <c r="AM8" i="1" s="1"/>
  <c r="AP8" i="1" s="1"/>
  <c r="AS8" i="1" s="1"/>
  <c r="AV8" i="1" s="1"/>
  <c r="AY8" i="1" s="1"/>
  <c r="BB8" i="1" s="1"/>
  <c r="BE8" i="1" s="1"/>
  <c r="BH8" i="1" s="1"/>
  <c r="BK8" i="1" s="1"/>
  <c r="BN8" i="1" s="1"/>
  <c r="I7" i="1"/>
  <c r="L7" i="1" s="1"/>
  <c r="O7" i="1" s="1"/>
  <c r="R7" i="1" s="1"/>
  <c r="U7" i="1" s="1"/>
  <c r="X7" i="1" s="1"/>
  <c r="AA7" i="1" s="1"/>
  <c r="AD7" i="1" s="1"/>
  <c r="AG7" i="1" s="1"/>
  <c r="AJ7" i="1" s="1"/>
  <c r="AM7" i="1" s="1"/>
  <c r="AP7" i="1" s="1"/>
  <c r="AS7" i="1" s="1"/>
  <c r="AV7" i="1" s="1"/>
  <c r="AY7" i="1" s="1"/>
  <c r="BB7" i="1" s="1"/>
  <c r="BE7" i="1" s="1"/>
  <c r="BH7" i="1" s="1"/>
  <c r="BK7" i="1" s="1"/>
  <c r="BN7" i="1" s="1"/>
  <c r="I6" i="1"/>
  <c r="L6" i="1" s="1"/>
  <c r="O6" i="1" s="1"/>
  <c r="R6" i="1" s="1"/>
  <c r="U6" i="1" s="1"/>
  <c r="X6" i="1" s="1"/>
  <c r="AA6" i="1" s="1"/>
  <c r="AD6" i="1" s="1"/>
  <c r="AG6" i="1" s="1"/>
  <c r="AJ6" i="1" s="1"/>
  <c r="AM6" i="1" s="1"/>
  <c r="AP6" i="1" s="1"/>
  <c r="AS6" i="1" s="1"/>
  <c r="AV6" i="1" s="1"/>
  <c r="AY6" i="1" s="1"/>
  <c r="BB6" i="1" s="1"/>
  <c r="BE6" i="1" s="1"/>
  <c r="BH6" i="1" s="1"/>
  <c r="BK6" i="1" s="1"/>
  <c r="BN6" i="1" s="1"/>
</calcChain>
</file>

<file path=xl/sharedStrings.xml><?xml version="1.0" encoding="utf-8"?>
<sst xmlns="http://schemas.openxmlformats.org/spreadsheetml/2006/main" count="108" uniqueCount="58">
  <si>
    <t>Metodologías ágiles: Lista de tareas de la iteración</t>
  </si>
  <si>
    <t>(Sprint 2 Backlog)</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</si>
  <si>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</si>
  <si>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</si>
  <si>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</si>
  <si>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</si>
  <si>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</si>
  <si>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</si>
  <si>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</si>
  <si>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</si>
  <si>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</si>
  <si>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</si>
  <si>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</si>
  <si>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</si>
  <si>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</si>
  <si>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</si>
  <si>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</si>
  <si>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</si>
  <si>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</si>
  <si>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</si>
  <si>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</si>
  <si>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</si>
  <si>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</si>
  <si>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</si>
  <si>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</si>
  <si>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</si>
  <si>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</si>
  <si>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</si>
  <si>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</si>
  <si>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</si>
  <si>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</si>
  <si>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CALMA-001</t>
  </si>
  <si>
    <t>Como estudiante, necesito una interfaz clara y simple, para no sentirme abrumado durante la crisis.</t>
  </si>
  <si>
    <t>Desarrollo de interfaz de usuario </t>
  </si>
  <si>
    <t>Alonso</t>
  </si>
  <si>
    <t>Completado</t>
  </si>
  <si>
    <t>CALMA-002</t>
  </si>
  <si>
    <t>Desarrollo de terapias básicas (respiración, música, etc...) </t>
  </si>
  <si>
    <t>Danitsa, Alonso</t>
  </si>
  <si>
    <t>CALMA-003</t>
  </si>
  <si>
    <t>Como estudiante, necesito un ambiente inmersivo con música y luz suave, para reducir mi ansiedad.</t>
  </si>
  <si>
    <t>Implementación de guía auditiva con voz empática </t>
  </si>
  <si>
    <t>Renata, Alonso</t>
  </si>
  <si>
    <t>Lista de tareas de la iteración (Sprint Backlog): Instructivo</t>
  </si>
  <si>
    <t>Elaborado por: pmoinformatica.com</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</si>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</sst>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0"/>
      <name val="Calibri"/>
      <family val="2"/>
      <scheme val="minor"/>
    </font>
    <font>
      <b/>
      <sz val="16"/>
      <color theme="3"/>
      <name val="Calibri"/>
      <family val="2"/>
      <scheme val="minor"/>
    </font>
    <font>
      <b/>
      <sz val="22"/>
      <color theme="1"/>
      <name val="Calibri"/>
      <family val="2"/>
      <scheme val="minor"/>
    </font>
    <font>
      <sz val="11"/>
      <color rgb="FF000000"/>
      <name val="Arial"/>
      <charset val="1"/>
    </font>
  </fonts>
  <fills count="6">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6" tint="0.59999389629810485"/>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2">
    <xf numFmtId="0" fontId="0" fillId="0" borderId="0" xfId="0"/>
    <xf numFmtId="0" fontId="1" fillId="2" borderId="1" xfId="0" applyFont="1" applyFill="1" applyBorder="1"/>
    <xf numFmtId="0" fontId="0" fillId="3" borderId="0" xfId="0" applyFill="1"/>
    <xf numFmtId="0" fontId="2"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3" borderId="1" xfId="0" applyFill="1" applyBorder="1" applyAlignment="1">
      <alignment horizontal="right" vertical="top" wrapText="1"/>
    </xf>
    <xf numFmtId="0" fontId="1" fillId="2" borderId="5" xfId="0" applyFont="1" applyFill="1" applyBorder="1" applyAlignment="1">
      <alignment horizontal="center" vertical="center" wrapText="1"/>
    </xf>
    <xf numFmtId="0" fontId="0" fillId="4" borderId="1" xfId="0" applyFill="1" applyBorder="1" applyAlignment="1">
      <alignment horizontal="right" vertical="top" wrapText="1"/>
    </xf>
    <xf numFmtId="0" fontId="0" fillId="5" borderId="1" xfId="0" applyFill="1" applyBorder="1" applyAlignment="1">
      <alignment horizontal="right" vertical="top" wrapText="1"/>
    </xf>
    <xf numFmtId="0" fontId="3" fillId="3" borderId="0" xfId="0" applyFont="1" applyFill="1"/>
    <xf numFmtId="0" fontId="0" fillId="0" borderId="1" xfId="0" applyBorder="1" applyAlignment="1">
      <alignment wrapText="1"/>
    </xf>
    <xf numFmtId="0" fontId="2" fillId="3" borderId="0" xfId="0" applyFont="1" applyFill="1" applyAlignment="1">
      <alignment wrapText="1"/>
    </xf>
    <xf numFmtId="0" fontId="4" fillId="0" borderId="6" xfId="0" applyFont="1" applyBorder="1" applyAlignment="1">
      <alignment wrapText="1" readingOrder="1"/>
    </xf>
    <xf numFmtId="0" fontId="0" fillId="3" borderId="3" xfId="0" applyFill="1" applyBorder="1" applyAlignment="1">
      <alignment horizontal="left" vertical="top" wrapText="1"/>
    </xf>
    <xf numFmtId="0" fontId="4" fillId="0" borderId="7" xfId="0" applyFont="1" applyBorder="1" applyAlignment="1">
      <alignment wrapText="1" readingOrder="1"/>
    </xf>
    <xf numFmtId="0" fontId="0" fillId="3" borderId="4" xfId="0" applyFill="1" applyBorder="1" applyAlignment="1">
      <alignment horizontal="center" vertical="center" wrapText="1"/>
    </xf>
    <xf numFmtId="0" fontId="0" fillId="3" borderId="1" xfId="0"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3" fillId="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Q17"/>
  <sheetViews>
    <sheetView tabSelected="1" view="pageBreakPreview" zoomScaleNormal="100" zoomScaleSheetLayoutView="100" workbookViewId="0">
      <pane xSplit="6" ySplit="5" topLeftCell="G6" activePane="bottomRight" state="frozen"/>
      <selection pane="bottomRight" activeCell="Q12" sqref="Q12"/>
      <selection pane="bottomLeft" activeCell="A5" sqref="A5"/>
      <selection pane="topRight" activeCell="G1" sqref="G1"/>
    </sheetView>
  </sheetViews>
  <sheetFormatPr defaultColWidth="11.42578125" defaultRowHeight="14.45"/>
  <cols>
    <col min="1" max="1" width="1.42578125" style="2" customWidth="1"/>
    <col min="2" max="2" width="16.42578125" style="2" customWidth="1"/>
    <col min="3" max="3" width="34" style="2" bestFit="1" customWidth="1"/>
    <col min="4" max="4" width="20.85546875" style="2" bestFit="1" customWidth="1"/>
    <col min="5" max="5" width="10.42578125" style="2" bestFit="1" customWidth="1"/>
    <col min="6" max="6" width="11.85546875" style="2" bestFit="1" customWidth="1"/>
    <col min="7" max="7" width="15.42578125" style="2" bestFit="1" customWidth="1"/>
    <col min="8" max="8" width="5.85546875" style="2" bestFit="1" customWidth="1"/>
    <col min="9" max="9" width="5.42578125" style="2" bestFit="1" customWidth="1"/>
    <col min="10" max="10" width="2.7109375" style="2" customWidth="1"/>
    <col min="11" max="11" width="5.85546875" style="2" bestFit="1" customWidth="1"/>
    <col min="12" max="12" width="5.42578125" style="2" bestFit="1" customWidth="1"/>
    <col min="13" max="13" width="2.7109375" style="2" customWidth="1"/>
    <col min="14" max="14" width="5.85546875" style="2" bestFit="1" customWidth="1"/>
    <col min="15" max="15" width="5.42578125" style="2" bestFit="1" customWidth="1"/>
    <col min="16" max="16" width="2.7109375" style="2" customWidth="1"/>
    <col min="17" max="17" width="5.85546875" style="2" bestFit="1" customWidth="1"/>
    <col min="18" max="18" width="5.42578125" style="2" bestFit="1" customWidth="1"/>
    <col min="19" max="19" width="2.7109375" style="2" customWidth="1"/>
    <col min="20" max="20" width="5.85546875" style="2" bestFit="1" customWidth="1"/>
    <col min="21" max="21" width="5.42578125" style="2" bestFit="1" customWidth="1"/>
    <col min="22" max="22" width="2.7109375" style="2" customWidth="1"/>
    <col min="23" max="23" width="5.85546875" style="2" bestFit="1" customWidth="1"/>
    <col min="24" max="24" width="5.42578125" style="2" bestFit="1" customWidth="1"/>
    <col min="25" max="25" width="2.7109375" style="2" customWidth="1"/>
    <col min="26" max="26" width="5.85546875" style="2" bestFit="1" customWidth="1"/>
    <col min="27" max="27" width="5.42578125" style="2" bestFit="1" customWidth="1"/>
    <col min="28" max="28" width="2.7109375" style="2" customWidth="1"/>
    <col min="29" max="29" width="5.85546875" style="2" bestFit="1" customWidth="1"/>
    <col min="30" max="30" width="5.42578125" style="2" bestFit="1" customWidth="1"/>
    <col min="31" max="31" width="2.7109375" style="2" customWidth="1"/>
    <col min="32" max="32" width="5.85546875" style="2" bestFit="1" customWidth="1"/>
    <col min="33" max="33" width="5.42578125" style="2" bestFit="1" customWidth="1"/>
    <col min="34" max="34" width="2.7109375" style="2" customWidth="1"/>
    <col min="35" max="35" width="5.85546875" style="2" bestFit="1" customWidth="1"/>
    <col min="36" max="36" width="5.42578125" style="2" bestFit="1" customWidth="1"/>
    <col min="37" max="37" width="2.7109375" style="2" customWidth="1"/>
    <col min="38" max="38" width="5.85546875" style="2" bestFit="1" customWidth="1"/>
    <col min="39" max="39" width="5.42578125" style="2" bestFit="1" customWidth="1"/>
    <col min="40" max="40" width="2.7109375" style="2" customWidth="1"/>
    <col min="41" max="41" width="5.85546875" style="2" bestFit="1" customWidth="1"/>
    <col min="42" max="42" width="5.42578125" style="2" bestFit="1" customWidth="1"/>
    <col min="43" max="43" width="2.7109375" style="2" customWidth="1"/>
    <col min="44" max="44" width="5.85546875" style="2" bestFit="1" customWidth="1"/>
    <col min="45" max="45" width="5.42578125" style="2" bestFit="1" customWidth="1"/>
    <col min="46" max="46" width="2.7109375" style="2" customWidth="1"/>
    <col min="47" max="47" width="5.85546875" style="2" bestFit="1" customWidth="1"/>
    <col min="48" max="48" width="5.42578125" style="2" bestFit="1" customWidth="1"/>
    <col min="49" max="49" width="2.7109375" style="2" customWidth="1"/>
    <col min="50" max="50" width="5.85546875" style="2" bestFit="1" customWidth="1"/>
    <col min="51" max="51" width="5.42578125" style="2" bestFit="1" customWidth="1"/>
    <col min="52" max="52" width="2.7109375" style="2" customWidth="1"/>
    <col min="53" max="53" width="5.85546875" style="2" bestFit="1" customWidth="1"/>
    <col min="54" max="54" width="5.42578125" style="2" bestFit="1" customWidth="1"/>
    <col min="55" max="55" width="2.7109375" style="2" customWidth="1"/>
    <col min="56" max="56" width="5.85546875" style="2" bestFit="1" customWidth="1"/>
    <col min="57" max="57" width="5.42578125" style="2" bestFit="1" customWidth="1"/>
    <col min="58" max="58" width="2.7109375" style="2" customWidth="1"/>
    <col min="59" max="59" width="5.85546875" style="2" bestFit="1" customWidth="1"/>
    <col min="60" max="60" width="5.42578125" style="2" bestFit="1" customWidth="1"/>
    <col min="61" max="61" width="2.7109375" style="2" customWidth="1"/>
    <col min="62" max="62" width="5.85546875" style="2" bestFit="1" customWidth="1"/>
    <col min="63" max="63" width="5.42578125" style="2" bestFit="1" customWidth="1"/>
    <col min="64" max="64" width="2.7109375" style="2" customWidth="1"/>
    <col min="65" max="65" width="5.85546875" style="2" bestFit="1" customWidth="1"/>
    <col min="66" max="66" width="5.42578125" style="2" bestFit="1" customWidth="1"/>
    <col min="67" max="67" width="2.7109375" style="2" customWidth="1"/>
    <col min="68" max="68" width="5.85546875" style="2" bestFit="1" customWidth="1"/>
    <col min="69" max="69" width="5.42578125" style="2" bestFit="1" customWidth="1"/>
    <col min="70" max="16384" width="11.42578125" style="2"/>
  </cols>
  <sheetData>
    <row r="1" spans="2:69" ht="28.5">
      <c r="B1" s="11" t="s">
        <v>0</v>
      </c>
    </row>
    <row r="2" spans="2:69" ht="30" customHeight="1">
      <c r="B2" s="21" t="s">
        <v>1</v>
      </c>
      <c r="C2" s="21"/>
    </row>
    <row r="3" spans="2:69" ht="21">
      <c r="B3" s="13"/>
    </row>
    <row r="4" spans="2:69">
      <c r="H4" s="19" t="s">
        <v>2</v>
      </c>
      <c r="I4" s="20"/>
      <c r="J4" s="8"/>
      <c r="K4" s="19" t="s">
        <v>3</v>
      </c>
      <c r="L4" s="20"/>
      <c r="M4" s="8"/>
      <c r="N4" s="19" t="s">
        <v>4</v>
      </c>
      <c r="O4" s="20"/>
      <c r="P4" s="8"/>
      <c r="Q4" s="19" t="s">
        <v>5</v>
      </c>
      <c r="R4" s="20"/>
      <c r="S4" s="8"/>
      <c r="T4" s="19" t="s">
        <v>6</v>
      </c>
      <c r="U4" s="20"/>
      <c r="V4" s="8"/>
      <c r="W4" s="19" t="s">
        <v>7</v>
      </c>
      <c r="X4" s="20"/>
      <c r="Y4" s="8"/>
      <c r="Z4" s="19" t="s">
        <v>8</v>
      </c>
      <c r="AA4" s="20"/>
      <c r="AB4" s="8"/>
      <c r="AC4" s="19" t="s">
        <v>9</v>
      </c>
      <c r="AD4" s="20"/>
      <c r="AE4" s="8"/>
      <c r="AF4" s="19" t="s">
        <v>10</v>
      </c>
      <c r="AG4" s="20"/>
      <c r="AH4" s="8"/>
      <c r="AI4" s="19" t="s">
        <v>11</v>
      </c>
      <c r="AJ4" s="20"/>
      <c r="AK4" s="8"/>
      <c r="AL4" s="19" t="s">
        <v>12</v>
      </c>
      <c r="AM4" s="20"/>
      <c r="AN4" s="8"/>
      <c r="AO4" s="19" t="s">
        <v>13</v>
      </c>
      <c r="AP4" s="20"/>
      <c r="AQ4" s="8"/>
      <c r="AR4" s="19" t="s">
        <v>14</v>
      </c>
      <c r="AS4" s="20"/>
      <c r="AT4" s="8"/>
      <c r="AU4" s="19" t="s">
        <v>15</v>
      </c>
      <c r="AV4" s="20"/>
      <c r="AW4" s="8"/>
      <c r="AX4" s="19" t="s">
        <v>16</v>
      </c>
      <c r="AY4" s="20"/>
      <c r="AZ4" s="8"/>
      <c r="BA4" s="19" t="s">
        <v>17</v>
      </c>
      <c r="BB4" s="20"/>
      <c r="BC4" s="8"/>
      <c r="BD4" s="19" t="s">
        <v>18</v>
      </c>
      <c r="BE4" s="20"/>
      <c r="BF4" s="8"/>
      <c r="BG4" s="19" t="s">
        <v>19</v>
      </c>
      <c r="BH4" s="20"/>
      <c r="BI4" s="8"/>
      <c r="BJ4" s="19" t="s">
        <v>20</v>
      </c>
      <c r="BK4" s="20"/>
      <c r="BL4" s="8"/>
      <c r="BM4" s="19" t="s">
        <v>21</v>
      </c>
      <c r="BN4" s="20"/>
      <c r="BO4" s="8"/>
      <c r="BP4" s="19" t="s">
        <v>22</v>
      </c>
      <c r="BQ4" s="20"/>
    </row>
    <row r="5" spans="2:69" ht="43.15">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2:69" ht="45.75">
      <c r="B6" s="4" t="s">
        <v>31</v>
      </c>
      <c r="C6" s="15" t="s">
        <v>32</v>
      </c>
      <c r="D6" s="14" t="s">
        <v>33</v>
      </c>
      <c r="E6" s="17" t="s">
        <v>34</v>
      </c>
      <c r="F6" s="4" t="s">
        <v>35</v>
      </c>
      <c r="G6" s="18">
        <v>8</v>
      </c>
      <c r="H6" s="7">
        <v>4</v>
      </c>
      <c r="I6" s="7">
        <f t="shared" ref="I6:I8" si="0">G6-H6</f>
        <v>4</v>
      </c>
      <c r="J6" s="9"/>
      <c r="K6" s="7">
        <v>4</v>
      </c>
      <c r="L6" s="7">
        <f t="shared" ref="L6:L8" si="1">I6-K6</f>
        <v>0</v>
      </c>
      <c r="M6" s="9"/>
      <c r="N6" s="7"/>
      <c r="O6" s="7">
        <f t="shared" ref="O6:O8" si="2">L6-N6</f>
        <v>0</v>
      </c>
      <c r="P6" s="9"/>
      <c r="Q6" s="7"/>
      <c r="R6" s="7">
        <f t="shared" ref="R6:R8" si="3">O6-Q6</f>
        <v>0</v>
      </c>
      <c r="S6" s="9"/>
      <c r="T6" s="7"/>
      <c r="U6" s="7">
        <f t="shared" ref="U6:U8" si="4">R6-T6</f>
        <v>0</v>
      </c>
      <c r="V6" s="9"/>
      <c r="W6" s="7"/>
      <c r="X6" s="7">
        <f t="shared" ref="X6:X8" si="5">U6-W6</f>
        <v>0</v>
      </c>
      <c r="Y6" s="9"/>
      <c r="Z6" s="7"/>
      <c r="AA6" s="7">
        <f t="shared" ref="AA6:AA8" si="6">X6-Z6</f>
        <v>0</v>
      </c>
      <c r="AB6" s="9"/>
      <c r="AC6" s="7"/>
      <c r="AD6" s="7">
        <f t="shared" ref="AD6:AD8" si="7">AA6-AC6</f>
        <v>0</v>
      </c>
      <c r="AE6" s="9"/>
      <c r="AF6" s="7"/>
      <c r="AG6" s="7">
        <f t="shared" ref="AG6:AG8" si="8">AD6-AF6</f>
        <v>0</v>
      </c>
      <c r="AH6" s="9"/>
      <c r="AI6" s="7"/>
      <c r="AJ6" s="7">
        <f t="shared" ref="AJ6:AJ8" si="9">AG6-AI6</f>
        <v>0</v>
      </c>
      <c r="AK6" s="9"/>
      <c r="AL6" s="7"/>
      <c r="AM6" s="7">
        <f t="shared" ref="AM6:AM8" si="10">AJ6-AL6</f>
        <v>0</v>
      </c>
      <c r="AN6" s="9"/>
      <c r="AO6" s="7"/>
      <c r="AP6" s="7">
        <f t="shared" ref="AP6:AP8" si="11">AM6-AO6</f>
        <v>0</v>
      </c>
      <c r="AQ6" s="9"/>
      <c r="AR6" s="7"/>
      <c r="AS6" s="7">
        <f t="shared" ref="AS6:AS8" si="12">AP6-AR6</f>
        <v>0</v>
      </c>
      <c r="AT6" s="9"/>
      <c r="AU6" s="7"/>
      <c r="AV6" s="7">
        <f t="shared" ref="AV6:AV8" si="13">AS6-AU6</f>
        <v>0</v>
      </c>
      <c r="AW6" s="9"/>
      <c r="AX6" s="7"/>
      <c r="AY6" s="7">
        <f t="shared" ref="AY6:AY8" si="14">AV6-AX6</f>
        <v>0</v>
      </c>
      <c r="AZ6" s="9"/>
      <c r="BA6" s="7"/>
      <c r="BB6" s="7">
        <f t="shared" ref="BB6:BB8" si="15">AY6-BA6</f>
        <v>0</v>
      </c>
      <c r="BC6" s="9"/>
      <c r="BD6" s="7"/>
      <c r="BE6" s="7">
        <f t="shared" ref="BE6:BE8" si="16">BB6-BD6</f>
        <v>0</v>
      </c>
      <c r="BF6" s="9"/>
      <c r="BG6" s="7"/>
      <c r="BH6" s="7">
        <f t="shared" ref="BH6:BH8" si="17">BE6-BG6</f>
        <v>0</v>
      </c>
      <c r="BI6" s="9"/>
      <c r="BJ6" s="7"/>
      <c r="BK6" s="7">
        <f t="shared" ref="BK6:BK8" si="18">BH6-BJ6</f>
        <v>0</v>
      </c>
      <c r="BL6" s="9"/>
      <c r="BM6" s="7"/>
      <c r="BN6" s="7">
        <f t="shared" ref="BN6:BN8" si="19">BK6-BM6</f>
        <v>0</v>
      </c>
      <c r="BO6" s="9"/>
      <c r="BP6" s="10">
        <f t="shared" ref="BP6:BP8" si="20">H6+K6+N6+Q6+T6+W6+Z6+AC6+AF6+AI6+AL6+AO6+AR6+AU6+AX6+BA6+BD6+BG6+BJ6+BM6</f>
        <v>8</v>
      </c>
      <c r="BQ6" s="10">
        <f t="shared" ref="BQ6:BQ8" si="21">G6-BP6</f>
        <v>0</v>
      </c>
    </row>
    <row r="7" spans="2:69" ht="56.25">
      <c r="B7" s="4" t="s">
        <v>36</v>
      </c>
      <c r="C7" s="15" t="s">
        <v>32</v>
      </c>
      <c r="D7" s="14" t="s">
        <v>37</v>
      </c>
      <c r="E7" s="17" t="s">
        <v>38</v>
      </c>
      <c r="F7" s="4" t="s">
        <v>35</v>
      </c>
      <c r="G7" s="18">
        <v>42</v>
      </c>
      <c r="H7" s="7">
        <v>3</v>
      </c>
      <c r="I7" s="7">
        <f t="shared" si="0"/>
        <v>39</v>
      </c>
      <c r="J7" s="9"/>
      <c r="K7" s="7">
        <v>2</v>
      </c>
      <c r="L7" s="7">
        <f t="shared" si="1"/>
        <v>37</v>
      </c>
      <c r="M7" s="9"/>
      <c r="N7" s="7">
        <v>8</v>
      </c>
      <c r="O7" s="7">
        <f t="shared" si="2"/>
        <v>29</v>
      </c>
      <c r="P7" s="9"/>
      <c r="Q7" s="7">
        <v>8</v>
      </c>
      <c r="R7" s="7">
        <f t="shared" si="3"/>
        <v>21</v>
      </c>
      <c r="S7" s="9"/>
      <c r="T7" s="7">
        <v>8</v>
      </c>
      <c r="U7" s="7">
        <f t="shared" si="4"/>
        <v>13</v>
      </c>
      <c r="V7" s="9"/>
      <c r="W7" s="7">
        <v>7</v>
      </c>
      <c r="X7" s="7">
        <f t="shared" si="5"/>
        <v>6</v>
      </c>
      <c r="Y7" s="9"/>
      <c r="Z7" s="7"/>
      <c r="AA7" s="7">
        <f t="shared" si="6"/>
        <v>6</v>
      </c>
      <c r="AB7" s="9"/>
      <c r="AC7" s="7">
        <v>4</v>
      </c>
      <c r="AD7" s="7">
        <f t="shared" si="7"/>
        <v>2</v>
      </c>
      <c r="AE7" s="9"/>
      <c r="AF7" s="7">
        <v>1</v>
      </c>
      <c r="AG7" s="7">
        <f t="shared" si="8"/>
        <v>1</v>
      </c>
      <c r="AH7" s="9"/>
      <c r="AI7" s="7">
        <v>1</v>
      </c>
      <c r="AJ7" s="7">
        <f t="shared" si="9"/>
        <v>0</v>
      </c>
      <c r="AK7" s="9"/>
      <c r="AL7" s="7"/>
      <c r="AM7" s="7">
        <f t="shared" si="10"/>
        <v>0</v>
      </c>
      <c r="AN7" s="9"/>
      <c r="AO7" s="7"/>
      <c r="AP7" s="7">
        <f t="shared" si="11"/>
        <v>0</v>
      </c>
      <c r="AQ7" s="9"/>
      <c r="AR7" s="7"/>
      <c r="AS7" s="7">
        <f t="shared" si="12"/>
        <v>0</v>
      </c>
      <c r="AT7" s="9"/>
      <c r="AU7" s="7"/>
      <c r="AV7" s="7">
        <f t="shared" si="13"/>
        <v>0</v>
      </c>
      <c r="AW7" s="9"/>
      <c r="AX7" s="7"/>
      <c r="AY7" s="7">
        <f t="shared" si="14"/>
        <v>0</v>
      </c>
      <c r="AZ7" s="9"/>
      <c r="BA7" s="7"/>
      <c r="BB7" s="7">
        <f t="shared" si="15"/>
        <v>0</v>
      </c>
      <c r="BC7" s="9"/>
      <c r="BD7" s="7"/>
      <c r="BE7" s="7">
        <f t="shared" si="16"/>
        <v>0</v>
      </c>
      <c r="BF7" s="9"/>
      <c r="BG7" s="7"/>
      <c r="BH7" s="7">
        <f t="shared" si="17"/>
        <v>0</v>
      </c>
      <c r="BI7" s="9"/>
      <c r="BJ7" s="7"/>
      <c r="BK7" s="7">
        <f t="shared" si="18"/>
        <v>0</v>
      </c>
      <c r="BL7" s="9"/>
      <c r="BM7" s="7"/>
      <c r="BN7" s="7">
        <f t="shared" si="19"/>
        <v>0</v>
      </c>
      <c r="BO7" s="9"/>
      <c r="BP7" s="10">
        <f t="shared" si="20"/>
        <v>42</v>
      </c>
      <c r="BQ7" s="10">
        <f t="shared" si="21"/>
        <v>0</v>
      </c>
    </row>
    <row r="8" spans="2:69" ht="45.75">
      <c r="B8" s="4" t="s">
        <v>39</v>
      </c>
      <c r="C8" s="12" t="s">
        <v>40</v>
      </c>
      <c r="D8" s="16" t="s">
        <v>41</v>
      </c>
      <c r="E8" s="18" t="s">
        <v>42</v>
      </c>
      <c r="F8" s="4" t="s">
        <v>35</v>
      </c>
      <c r="G8" s="18">
        <v>42</v>
      </c>
      <c r="H8" s="7">
        <v>4</v>
      </c>
      <c r="I8" s="7">
        <f t="shared" si="0"/>
        <v>38</v>
      </c>
      <c r="J8" s="9"/>
      <c r="K8" s="7">
        <v>6</v>
      </c>
      <c r="L8" s="7">
        <f t="shared" si="1"/>
        <v>32</v>
      </c>
      <c r="M8" s="9"/>
      <c r="N8" s="7">
        <v>6</v>
      </c>
      <c r="O8" s="7">
        <f t="shared" si="2"/>
        <v>26</v>
      </c>
      <c r="P8" s="9"/>
      <c r="Q8" s="7">
        <v>6</v>
      </c>
      <c r="R8" s="7">
        <f t="shared" si="3"/>
        <v>20</v>
      </c>
      <c r="S8" s="9"/>
      <c r="T8" s="7">
        <v>6</v>
      </c>
      <c r="U8" s="7">
        <f t="shared" si="4"/>
        <v>14</v>
      </c>
      <c r="V8" s="9"/>
      <c r="W8" s="7">
        <v>4</v>
      </c>
      <c r="X8" s="7">
        <f t="shared" si="5"/>
        <v>10</v>
      </c>
      <c r="Y8" s="9"/>
      <c r="Z8" s="7">
        <v>4</v>
      </c>
      <c r="AA8" s="7">
        <f t="shared" si="6"/>
        <v>6</v>
      </c>
      <c r="AB8" s="9"/>
      <c r="AC8" s="7"/>
      <c r="AD8" s="7">
        <f t="shared" si="7"/>
        <v>6</v>
      </c>
      <c r="AE8" s="9"/>
      <c r="AF8" s="7">
        <v>0</v>
      </c>
      <c r="AG8" s="7">
        <f t="shared" si="8"/>
        <v>6</v>
      </c>
      <c r="AH8" s="9"/>
      <c r="AI8" s="7">
        <v>0</v>
      </c>
      <c r="AJ8" s="7">
        <f t="shared" si="9"/>
        <v>6</v>
      </c>
      <c r="AK8" s="9"/>
      <c r="AL8" s="7">
        <v>0</v>
      </c>
      <c r="AM8" s="7">
        <f t="shared" si="10"/>
        <v>6</v>
      </c>
      <c r="AN8" s="9"/>
      <c r="AO8" s="7">
        <v>2</v>
      </c>
      <c r="AP8" s="7">
        <f t="shared" si="11"/>
        <v>4</v>
      </c>
      <c r="AQ8" s="9"/>
      <c r="AR8" s="7">
        <v>4</v>
      </c>
      <c r="AS8" s="7">
        <f t="shared" si="12"/>
        <v>0</v>
      </c>
      <c r="AT8" s="9"/>
      <c r="AU8" s="7">
        <v>0</v>
      </c>
      <c r="AV8" s="7">
        <f t="shared" si="13"/>
        <v>0</v>
      </c>
      <c r="AW8" s="9"/>
      <c r="AX8" s="7">
        <v>0</v>
      </c>
      <c r="AY8" s="7">
        <f t="shared" si="14"/>
        <v>0</v>
      </c>
      <c r="AZ8" s="9"/>
      <c r="BA8" s="7">
        <v>0</v>
      </c>
      <c r="BB8" s="7">
        <f t="shared" si="15"/>
        <v>0</v>
      </c>
      <c r="BC8" s="9"/>
      <c r="BD8" s="7">
        <v>0</v>
      </c>
      <c r="BE8" s="7">
        <f t="shared" si="16"/>
        <v>0</v>
      </c>
      <c r="BF8" s="9"/>
      <c r="BG8" s="7">
        <v>0</v>
      </c>
      <c r="BH8" s="7">
        <f t="shared" si="17"/>
        <v>0</v>
      </c>
      <c r="BI8" s="9"/>
      <c r="BJ8" s="7">
        <v>0</v>
      </c>
      <c r="BK8" s="7">
        <f t="shared" si="18"/>
        <v>0</v>
      </c>
      <c r="BL8" s="9"/>
      <c r="BM8" s="7">
        <v>0</v>
      </c>
      <c r="BN8" s="7">
        <f t="shared" si="19"/>
        <v>0</v>
      </c>
      <c r="BO8" s="9"/>
      <c r="BP8" s="10">
        <f t="shared" si="20"/>
        <v>42</v>
      </c>
      <c r="BQ8" s="10">
        <f t="shared" si="21"/>
        <v>0</v>
      </c>
    </row>
    <row r="9" spans="2:69" ht="15"/>
    <row r="10" spans="2:69" ht="15"/>
    <row r="11" spans="2:69" ht="15"/>
    <row r="12" spans="2:69" ht="15"/>
    <row r="13" spans="2:69" ht="15"/>
    <row r="14" spans="2:69" ht="15"/>
    <row r="15" spans="2:69" ht="15"/>
    <row r="17" ht="15"/>
  </sheetData>
  <mergeCells count="22">
    <mergeCell ref="B2:C2"/>
    <mergeCell ref="BG4:BH4"/>
    <mergeCell ref="BJ4:BK4"/>
    <mergeCell ref="BM4:BN4"/>
    <mergeCell ref="BP4:BQ4"/>
    <mergeCell ref="AO4:AP4"/>
    <mergeCell ref="AR4:AS4"/>
    <mergeCell ref="AU4:AV4"/>
    <mergeCell ref="AX4:AY4"/>
    <mergeCell ref="BA4:BB4"/>
    <mergeCell ref="BD4:BE4"/>
    <mergeCell ref="AL4:AM4"/>
    <mergeCell ref="H4:I4"/>
    <mergeCell ref="K4:L4"/>
    <mergeCell ref="N4:O4"/>
    <mergeCell ref="Q4:R4"/>
    <mergeCell ref="AI4:AJ4"/>
    <mergeCell ref="T4:U4"/>
    <mergeCell ref="W4:X4"/>
    <mergeCell ref="Z4:AA4"/>
    <mergeCell ref="AC4:AD4"/>
    <mergeCell ref="AF4:AG4"/>
  </mergeCells>
  <pageMargins left="0.62992125984251968" right="0.62992125984251968" top="0.74803149606299213" bottom="0.74803149606299213" header="0.31496062992125984" footer="0.31496062992125984"/>
  <pageSetup scale="69" orientation="landscape" r:id="rId1"/>
  <colBreaks count="4" manualBreakCount="4">
    <brk id="21" max="18" man="1"/>
    <brk id="36" max="18" man="1"/>
    <brk id="52" max="18" man="1"/>
    <brk id="69" max="18"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4"/>
  <sheetViews>
    <sheetView view="pageBreakPreview" topLeftCell="A8" zoomScaleSheetLayoutView="100" workbookViewId="0">
      <selection activeCell="C9" sqref="C9"/>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28.9">
      <c r="B1" s="11" t="s">
        <v>43</v>
      </c>
    </row>
    <row r="2" spans="2:3" ht="21">
      <c r="B2" s="3" t="s">
        <v>44</v>
      </c>
    </row>
    <row r="4" spans="2:3">
      <c r="B4" s="1" t="s">
        <v>45</v>
      </c>
      <c r="C4" s="1" t="s">
        <v>46</v>
      </c>
    </row>
    <row r="5" spans="2:3" ht="28.9">
      <c r="B5" s="4" t="str">
        <f>'Sprint Backlog'!B5</f>
        <v>Identificador (ID) de item de product backlog</v>
      </c>
      <c r="C5" s="4" t="s">
        <v>47</v>
      </c>
    </row>
    <row r="6" spans="2:3" ht="57.6">
      <c r="B6" s="4" t="str">
        <f>'Sprint Backlog'!C5</f>
        <v>Enunciado del item de Product Backlog</v>
      </c>
      <c r="C6" s="4" t="s">
        <v>48</v>
      </c>
    </row>
    <row r="7" spans="2:3" ht="57.6">
      <c r="B7" s="4" t="s">
        <v>25</v>
      </c>
      <c r="C7" s="4" t="s">
        <v>49</v>
      </c>
    </row>
    <row r="8" spans="2:3" ht="72">
      <c r="B8" s="4" t="s">
        <v>26</v>
      </c>
      <c r="C8" s="4" t="s">
        <v>50</v>
      </c>
    </row>
    <row r="9" spans="2:3" ht="79.5" customHeight="1">
      <c r="B9" s="4" t="s">
        <v>27</v>
      </c>
      <c r="C9" s="4" t="s">
        <v>51</v>
      </c>
    </row>
    <row r="10" spans="2:3" ht="43.15">
      <c r="B10" s="4" t="s">
        <v>28</v>
      </c>
      <c r="C10" s="4" t="s">
        <v>52</v>
      </c>
    </row>
    <row r="11" spans="2:3" ht="28.9">
      <c r="B11" s="4" t="s">
        <v>53</v>
      </c>
      <c r="C11" s="4" t="s">
        <v>54</v>
      </c>
    </row>
    <row r="12" spans="2:3">
      <c r="B12" s="4" t="s">
        <v>29</v>
      </c>
      <c r="C12" s="4" t="s">
        <v>55</v>
      </c>
    </row>
    <row r="13" spans="2:3" ht="43.15">
      <c r="B13" s="4" t="s">
        <v>30</v>
      </c>
      <c r="C13" s="4" t="s">
        <v>56</v>
      </c>
    </row>
    <row r="14" spans="2:3" ht="28.9">
      <c r="B14" s="4" t="s">
        <v>22</v>
      </c>
      <c r="C14" s="4" t="s">
        <v>57</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ALONSO GABRIEL GARCIA MUNOZ</cp:lastModifiedBy>
  <cp:revision/>
  <dcterms:created xsi:type="dcterms:W3CDTF">2012-09-02T03:53:17Z</dcterms:created>
  <dcterms:modified xsi:type="dcterms:W3CDTF">2025-11-17T00:52:17Z</dcterms:modified>
  <cp:category/>
  <cp:contentStatus/>
</cp:coreProperties>
</file>