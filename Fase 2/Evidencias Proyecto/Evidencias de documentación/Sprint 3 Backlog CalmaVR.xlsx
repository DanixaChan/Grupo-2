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8"/>
  <workbookPr defaultThemeVersion="124226"/>
  <mc:AlternateContent xmlns:mc="http://schemas.openxmlformats.org/markup-compatibility/2006">
    <mc:Choice Requires="x15">
      <x15ac:absPath xmlns:x15ac="http://schemas.microsoft.com/office/spreadsheetml/2010/11/ac" url="C:\Users\alons\Desktop\"/>
    </mc:Choice>
  </mc:AlternateContent>
  <xr:revisionPtr revIDLastSave="452" documentId="13_ncr:1_{139691B8-52F2-4772-866A-DE608C149D86}" xr6:coauthVersionLast="47" xr6:coauthVersionMax="47" xr10:uidLastSave="{A0F3F451-1328-431B-81F9-5D89C26E5FFE}"/>
  <bookViews>
    <workbookView xWindow="0" yWindow="0" windowWidth="23040" windowHeight="8940" xr2:uid="{00000000-000D-0000-FFFF-FFFF00000000}"/>
  </bookViews>
  <sheets>
    <sheet name="Sprint Backlog" sheetId="1" r:id="rId1"/>
    <sheet name="Instructivo" sheetId="2" r:id="rId2"/>
  </sheets>
  <definedNames>
    <definedName name="_xlnm.Print_Area" localSheetId="1">Instructivo!$A$1:$D$15</definedName>
    <definedName name="_xlnm.Print_Area" localSheetId="0">'Sprint Backlog'!$A$1:$BR$11</definedName>
    <definedName name="_xlnm.Print_Titles" localSheetId="0">'Sprint Backlog'!$B:$F,'Sprint Backlog'!$1:$5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 r="L14" i="1"/>
  <c r="O14" i="1"/>
  <c r="R14" i="1"/>
  <c r="U14" i="1"/>
  <c r="X14" i="1"/>
  <c r="AA14" i="1"/>
  <c r="AD14" i="1"/>
  <c r="AG14" i="1"/>
  <c r="AJ14" i="1"/>
  <c r="AM14" i="1"/>
  <c r="AP14" i="1"/>
  <c r="AS14" i="1"/>
  <c r="AV14" i="1"/>
  <c r="AY14" i="1"/>
  <c r="BB14" i="1"/>
  <c r="BE14" i="1"/>
  <c r="BH14" i="1"/>
  <c r="BK14" i="1"/>
  <c r="BN14" i="1"/>
  <c r="BP14" i="1"/>
  <c r="BQ14" i="1"/>
  <c r="I12" i="1"/>
  <c r="L12" i="1"/>
  <c r="O12" i="1"/>
  <c r="R12" i="1"/>
  <c r="U12" i="1"/>
  <c r="X12" i="1"/>
  <c r="AA12" i="1"/>
  <c r="AD12" i="1"/>
  <c r="AG12" i="1"/>
  <c r="AJ12" i="1"/>
  <c r="AM12" i="1"/>
  <c r="AP12" i="1"/>
  <c r="AS12" i="1"/>
  <c r="AV12" i="1"/>
  <c r="AY12" i="1"/>
  <c r="BB12" i="1"/>
  <c r="BE12" i="1"/>
  <c r="BH12" i="1"/>
  <c r="BK12" i="1"/>
  <c r="BN12" i="1"/>
  <c r="BP12" i="1"/>
  <c r="BQ12" i="1"/>
  <c r="I7" i="1"/>
  <c r="L7" i="1"/>
  <c r="O7" i="1"/>
  <c r="R7" i="1"/>
  <c r="U7" i="1"/>
  <c r="X7" i="1"/>
  <c r="AA7" i="1"/>
  <c r="AD7" i="1"/>
  <c r="AG7" i="1"/>
  <c r="AJ7" i="1"/>
  <c r="AM7" i="1"/>
  <c r="AP7" i="1"/>
  <c r="AS7" i="1"/>
  <c r="AV7" i="1"/>
  <c r="AY7" i="1"/>
  <c r="BB7" i="1"/>
  <c r="BE7" i="1"/>
  <c r="BH7" i="1"/>
  <c r="BK7" i="1"/>
  <c r="BN7" i="1"/>
  <c r="BP7" i="1"/>
  <c r="BQ7" i="1"/>
  <c r="I10" i="1"/>
  <c r="I8" i="1"/>
  <c r="L10" i="1"/>
  <c r="O10" i="1"/>
  <c r="R10" i="1" s="1"/>
  <c r="U10" i="1"/>
  <c r="X10" i="1"/>
  <c r="AA10" i="1"/>
  <c r="AD10" i="1"/>
  <c r="AG10" i="1"/>
  <c r="AJ10" i="1"/>
  <c r="AM10" i="1"/>
  <c r="AP10" i="1"/>
  <c r="AS10" i="1"/>
  <c r="AV10" i="1"/>
  <c r="AY10" i="1"/>
  <c r="BB10" i="1"/>
  <c r="BE10" i="1"/>
  <c r="BH10" i="1"/>
  <c r="BK10" i="1"/>
  <c r="BN10" i="1"/>
  <c r="BP10" i="1"/>
  <c r="BQ10" i="1"/>
  <c r="I11" i="1"/>
  <c r="L11" i="1"/>
  <c r="O11" i="1"/>
  <c r="R11" i="1" s="1"/>
  <c r="U11" i="1"/>
  <c r="X11" i="1"/>
  <c r="AA11" i="1"/>
  <c r="AD11" i="1"/>
  <c r="AG11" i="1"/>
  <c r="AJ11" i="1"/>
  <c r="AM11" i="1"/>
  <c r="AP11" i="1"/>
  <c r="AS11" i="1"/>
  <c r="AV11" i="1"/>
  <c r="AY11" i="1"/>
  <c r="BB11" i="1"/>
  <c r="BE11" i="1"/>
  <c r="BH11" i="1"/>
  <c r="BK11" i="1"/>
  <c r="BN11" i="1"/>
  <c r="BP11" i="1"/>
  <c r="BQ11" i="1"/>
  <c r="I13" i="1"/>
  <c r="L13" i="1"/>
  <c r="O13" i="1"/>
  <c r="R13" i="1" s="1"/>
  <c r="U13" i="1"/>
  <c r="X13" i="1"/>
  <c r="AA13" i="1"/>
  <c r="AD13" i="1"/>
  <c r="AG13" i="1"/>
  <c r="AJ13" i="1"/>
  <c r="AM13" i="1"/>
  <c r="AP13" i="1"/>
  <c r="AS13" i="1"/>
  <c r="AV13" i="1"/>
  <c r="AY13" i="1"/>
  <c r="BB13" i="1"/>
  <c r="BE13" i="1"/>
  <c r="BH13" i="1"/>
  <c r="BK13" i="1"/>
  <c r="BN13" i="1"/>
  <c r="BP13" i="1"/>
  <c r="BQ13" i="1"/>
  <c r="B6" i="2"/>
  <c r="B5" i="2"/>
  <c r="BP9" i="1"/>
  <c r="BQ9" i="1" s="1"/>
  <c r="BP8" i="1"/>
  <c r="BQ8" i="1" s="1"/>
  <c r="BP6" i="1"/>
  <c r="BQ6" i="1" s="1"/>
  <c r="I9" i="1"/>
  <c r="L9" i="1" s="1"/>
  <c r="O9" i="1" s="1"/>
  <c r="L8" i="1"/>
  <c r="O8" i="1" s="1"/>
  <c r="I6" i="1"/>
  <c r="L6" i="1" s="1"/>
  <c r="O6" i="1" s="1"/>
  <c r="R6" i="1" l="1"/>
  <c r="U6" i="1" s="1"/>
  <c r="X6" i="1" s="1"/>
  <c r="AA6" i="1" s="1"/>
  <c r="AD6" i="1" s="1"/>
  <c r="AG6" i="1" s="1"/>
  <c r="AJ6" i="1" s="1"/>
  <c r="AM6" i="1" s="1"/>
  <c r="AP6" i="1" s="1"/>
  <c r="AS6" i="1" s="1"/>
  <c r="AV6" i="1" s="1"/>
  <c r="AY6" i="1" s="1"/>
  <c r="BB6" i="1" s="1"/>
  <c r="BE6" i="1" s="1"/>
  <c r="BH6" i="1" s="1"/>
  <c r="BK6" i="1" s="1"/>
  <c r="BN6" i="1" s="1"/>
  <c r="R8" i="1"/>
  <c r="U8" i="1" s="1"/>
  <c r="X8" i="1" s="1"/>
  <c r="AA8" i="1" s="1"/>
  <c r="AD8" i="1" s="1"/>
  <c r="AG8" i="1" s="1"/>
  <c r="AJ8" i="1" s="1"/>
  <c r="AM8" i="1" s="1"/>
  <c r="AP8" i="1" s="1"/>
  <c r="AS8" i="1" s="1"/>
  <c r="AV8" i="1" s="1"/>
  <c r="AY8" i="1" s="1"/>
  <c r="BB8" i="1" s="1"/>
  <c r="BE8" i="1" s="1"/>
  <c r="BH8" i="1" s="1"/>
  <c r="BK8" i="1" s="1"/>
  <c r="BN8" i="1" s="1"/>
  <c r="R9" i="1"/>
  <c r="U9" i="1" s="1"/>
  <c r="X9" i="1" s="1"/>
  <c r="AA9" i="1" s="1"/>
  <c r="AD9" i="1" s="1"/>
  <c r="AG9" i="1" s="1"/>
  <c r="AJ9" i="1" s="1"/>
  <c r="AM9" i="1" s="1"/>
  <c r="AP9" i="1" s="1"/>
  <c r="AS9" i="1" s="1"/>
  <c r="AV9" i="1" s="1"/>
  <c r="AY9" i="1" s="1"/>
  <c r="BB9" i="1" s="1"/>
  <c r="BE9" i="1" s="1"/>
  <c r="BH9" i="1" s="1"/>
  <c r="BK9" i="1" s="1"/>
  <c r="BN9" i="1" s="1"/>
</calcChain>
</file>

<file path=xl/sharedStrings.xml><?xml version="1.0" encoding="utf-8"?>
<sst xmlns="http://schemas.openxmlformats.org/spreadsheetml/2006/main" count="138" uniqueCount="72">
  <si>
    <t>Metodologías ágiles: Lista de tareas de la iteración</t>
  </si>
  <si>
    <t>(Sprint 3 Backlog)</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</si>
  <si>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</si>
  <si>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</si>
  <si>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</si>
  <si>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</si>
  <si>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</si>
  <si>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</si>
  <si>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</si>
  <si>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</si>
  <si>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</si>
  <si>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</si>
  <si>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</si>
  <si>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</si>
  <si>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</si>
  <si>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</si>
  <si>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</si>
  <si>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</si>
  <si>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</si>
  <si>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</si>
  <si>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</si>
  <si>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</si>
  <si>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</si>
  <si>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</si>
  <si>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</si>
  <si>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</si>
  <si>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</si>
  <si>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</si>
  <si>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</si>
  <si>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</si>
  <si>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</si>
  <si>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CALMA-001</t>
  </si>
  <si>
    <t>Como estudiante, necesito una interfaz clara y simple, para no sentirme abrumado durante la crisis.</t>
  </si>
  <si>
    <t>Prueba controlada con estudiantes</t>
  </si>
  <si>
    <t>Equipo</t>
  </si>
  <si>
    <t>Completado</t>
  </si>
  <si>
    <t>CALMA-002</t>
  </si>
  <si>
    <t>Base de Datos</t>
  </si>
  <si>
    <t>Alonso</t>
  </si>
  <si>
    <t>CALMA-003</t>
  </si>
  <si>
    <t>Optimización del entorno VR</t>
  </si>
  <si>
    <t>Alonso y Danitsa</t>
  </si>
  <si>
    <t>CALMA-004</t>
  </si>
  <si>
    <t>Como estudiante, necesito un ambiente inmersivo con música y luz suave, para reducir mi ansiedad.</t>
  </si>
  <si>
    <t>Ajustes en la interfaz de usuario</t>
  </si>
  <si>
    <t>CALMA-005</t>
  </si>
  <si>
    <t>Mejora del rendimiento e inmersión</t>
  </si>
  <si>
    <t>CALMA-006</t>
  </si>
  <si>
    <t>Corrección de errores y bugs</t>
  </si>
  <si>
    <t>CALMA-007</t>
  </si>
  <si>
    <t>Validacion y revision Docente</t>
  </si>
  <si>
    <t>Renata</t>
  </si>
  <si>
    <t>CALMA-008</t>
  </si>
  <si>
    <t>Documentación técnica y de usuario</t>
  </si>
  <si>
    <t>Danitsa</t>
  </si>
  <si>
    <t>CALMA-009</t>
  </si>
  <si>
    <t>Recopilación de feedback y entrega final</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</si>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</sst>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0"/>
      <name val="Calibri"/>
      <family val="2"/>
      <scheme val="minor"/>
    </font>
    <font>
      <b/>
      <sz val="16"/>
      <color theme="3"/>
      <name val="Calibri"/>
      <family val="2"/>
      <scheme val="minor"/>
    </font>
    <font>
      <b/>
      <sz val="22"/>
      <color theme="1"/>
      <name val="Calibri"/>
      <family val="2"/>
      <scheme val="minor"/>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8"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xf numFmtId="0" fontId="0" fillId="3" borderId="0" xfId="0" applyFill="1"/>
    <xf numFmtId="0" fontId="2"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3" borderId="1" xfId="0" applyFill="1" applyBorder="1" applyAlignment="1">
      <alignment horizontal="right" vertical="top" wrapText="1"/>
    </xf>
    <xf numFmtId="0" fontId="1" fillId="2" borderId="5" xfId="0" applyFont="1" applyFill="1" applyBorder="1" applyAlignment="1">
      <alignment horizontal="center" vertical="center" wrapText="1"/>
    </xf>
    <xf numFmtId="0" fontId="0" fillId="4" borderId="1" xfId="0" applyFill="1" applyBorder="1" applyAlignment="1">
      <alignment horizontal="right" vertical="top" wrapText="1"/>
    </xf>
    <xf numFmtId="0" fontId="0" fillId="5" borderId="1" xfId="0" applyFill="1" applyBorder="1" applyAlignment="1">
      <alignment horizontal="right" vertical="top" wrapText="1"/>
    </xf>
    <xf numFmtId="0" fontId="3" fillId="3" borderId="0" xfId="0" applyFont="1" applyFill="1"/>
    <xf numFmtId="0" fontId="0" fillId="0" borderId="1" xfId="0" applyBorder="1" applyAlignment="1">
      <alignment wrapText="1"/>
    </xf>
    <xf numFmtId="0" fontId="2" fillId="3" borderId="0" xfId="0" applyFont="1" applyFill="1" applyAlignment="1">
      <alignment wrapText="1"/>
    </xf>
    <xf numFmtId="0" fontId="0" fillId="3" borderId="3" xfId="0" applyFill="1" applyBorder="1" applyAlignment="1">
      <alignment horizontal="left" vertical="top" wrapText="1"/>
    </xf>
    <xf numFmtId="0" fontId="0" fillId="3" borderId="4" xfId="0" applyFill="1" applyBorder="1" applyAlignment="1">
      <alignment horizontal="center" vertical="center" wrapText="1"/>
    </xf>
    <xf numFmtId="0" fontId="0" fillId="3" borderId="1" xfId="0" applyFill="1" applyBorder="1" applyAlignment="1">
      <alignment horizontal="center" vertical="center" wrapText="1"/>
    </xf>
    <xf numFmtId="0" fontId="0" fillId="6" borderId="1" xfId="0" applyFill="1" applyBorder="1" applyAlignment="1">
      <alignmen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3"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Q18"/>
  <sheetViews>
    <sheetView tabSelected="1" view="pageBreakPreview" zoomScaleNormal="100" zoomScaleSheetLayoutView="100" workbookViewId="0">
      <pane xSplit="6" ySplit="5" topLeftCell="AF6" activePane="bottomRight" state="frozen"/>
      <selection pane="bottomRight" activeCell="AF15" sqref="AF15"/>
      <selection pane="bottomLeft" activeCell="A5" sqref="A5"/>
      <selection pane="topRight" activeCell="G1" sqref="G1"/>
    </sheetView>
  </sheetViews>
  <sheetFormatPr defaultColWidth="11.42578125" defaultRowHeight="14.45"/>
  <cols>
    <col min="1" max="1" width="1.42578125" style="2" customWidth="1"/>
    <col min="2" max="2" width="16.42578125" style="2" customWidth="1"/>
    <col min="3" max="3" width="34" style="2" bestFit="1" customWidth="1"/>
    <col min="4" max="4" width="20.85546875" style="2" bestFit="1" customWidth="1"/>
    <col min="5" max="5" width="10.42578125" style="2" bestFit="1" customWidth="1"/>
    <col min="6" max="6" width="11.85546875" style="2" bestFit="1" customWidth="1"/>
    <col min="7" max="7" width="15.42578125" style="2" bestFit="1" customWidth="1"/>
    <col min="8" max="8" width="5.85546875" style="2" bestFit="1" customWidth="1"/>
    <col min="9" max="9" width="5.42578125" style="2" bestFit="1" customWidth="1"/>
    <col min="10" max="10" width="2.7109375" style="2" customWidth="1"/>
    <col min="11" max="11" width="5.85546875" style="2" bestFit="1" customWidth="1"/>
    <col min="12" max="12" width="5.42578125" style="2" bestFit="1" customWidth="1"/>
    <col min="13" max="13" width="2.7109375" style="2" customWidth="1"/>
    <col min="14" max="14" width="5.85546875" style="2" bestFit="1" customWidth="1"/>
    <col min="15" max="15" width="5.42578125" style="2" bestFit="1" customWidth="1"/>
    <col min="16" max="16" width="2.7109375" style="2" customWidth="1"/>
    <col min="17" max="17" width="5.85546875" style="2" bestFit="1" customWidth="1"/>
    <col min="18" max="18" width="5.42578125" style="2" bestFit="1" customWidth="1"/>
    <col min="19" max="19" width="2.7109375" style="2" customWidth="1"/>
    <col min="20" max="20" width="5.85546875" style="2" bestFit="1" customWidth="1"/>
    <col min="21" max="21" width="5.42578125" style="2" bestFit="1" customWidth="1"/>
    <col min="22" max="22" width="2.7109375" style="2" customWidth="1"/>
    <col min="23" max="23" width="5.85546875" style="2" bestFit="1" customWidth="1"/>
    <col min="24" max="24" width="5.42578125" style="2" bestFit="1" customWidth="1"/>
    <col min="25" max="25" width="2.7109375" style="2" customWidth="1"/>
    <col min="26" max="26" width="5.85546875" style="2" bestFit="1" customWidth="1"/>
    <col min="27" max="27" width="5.42578125" style="2" bestFit="1" customWidth="1"/>
    <col min="28" max="28" width="2.7109375" style="2" customWidth="1"/>
    <col min="29" max="29" width="5.85546875" style="2" bestFit="1" customWidth="1"/>
    <col min="30" max="30" width="5.42578125" style="2" bestFit="1" customWidth="1"/>
    <col min="31" max="31" width="2.7109375" style="2" customWidth="1"/>
    <col min="32" max="32" width="5.85546875" style="2" bestFit="1" customWidth="1"/>
    <col min="33" max="33" width="5.42578125" style="2" bestFit="1" customWidth="1"/>
    <col min="34" max="34" width="2.7109375" style="2" customWidth="1"/>
    <col min="35" max="35" width="5.85546875" style="2" bestFit="1" customWidth="1"/>
    <col min="36" max="36" width="5.42578125" style="2" bestFit="1" customWidth="1"/>
    <col min="37" max="37" width="2.7109375" style="2" customWidth="1"/>
    <col min="38" max="38" width="5.85546875" style="2" bestFit="1" customWidth="1"/>
    <col min="39" max="39" width="5.42578125" style="2" bestFit="1" customWidth="1"/>
    <col min="40" max="40" width="2.7109375" style="2" customWidth="1"/>
    <col min="41" max="41" width="5.85546875" style="2" bestFit="1" customWidth="1"/>
    <col min="42" max="42" width="5.42578125" style="2" bestFit="1" customWidth="1"/>
    <col min="43" max="43" width="2.7109375" style="2" customWidth="1"/>
    <col min="44" max="44" width="5.85546875" style="2" bestFit="1" customWidth="1"/>
    <col min="45" max="45" width="5.42578125" style="2" bestFit="1" customWidth="1"/>
    <col min="46" max="46" width="2.7109375" style="2" customWidth="1"/>
    <col min="47" max="47" width="5.85546875" style="2" bestFit="1" customWidth="1"/>
    <col min="48" max="48" width="5.42578125" style="2" bestFit="1" customWidth="1"/>
    <col min="49" max="49" width="2.7109375" style="2" customWidth="1"/>
    <col min="50" max="50" width="5.85546875" style="2" bestFit="1" customWidth="1"/>
    <col min="51" max="51" width="5.42578125" style="2" bestFit="1" customWidth="1"/>
    <col min="52" max="52" width="2.7109375" style="2" customWidth="1"/>
    <col min="53" max="53" width="5.85546875" style="2" bestFit="1" customWidth="1"/>
    <col min="54" max="54" width="5.42578125" style="2" bestFit="1" customWidth="1"/>
    <col min="55" max="55" width="2.7109375" style="2" customWidth="1"/>
    <col min="56" max="56" width="5.85546875" style="2" bestFit="1" customWidth="1"/>
    <col min="57" max="57" width="5.42578125" style="2" bestFit="1" customWidth="1"/>
    <col min="58" max="58" width="2.7109375" style="2" customWidth="1"/>
    <col min="59" max="59" width="5.85546875" style="2" bestFit="1" customWidth="1"/>
    <col min="60" max="60" width="5.42578125" style="2" bestFit="1" customWidth="1"/>
    <col min="61" max="61" width="2.7109375" style="2" customWidth="1"/>
    <col min="62" max="62" width="5.85546875" style="2" bestFit="1" customWidth="1"/>
    <col min="63" max="63" width="5.42578125" style="2" bestFit="1" customWidth="1"/>
    <col min="64" max="64" width="2.7109375" style="2" customWidth="1"/>
    <col min="65" max="65" width="5.85546875" style="2" bestFit="1" customWidth="1"/>
    <col min="66" max="66" width="5.42578125" style="2" bestFit="1" customWidth="1"/>
    <col min="67" max="67" width="2.7109375" style="2" customWidth="1"/>
    <col min="68" max="68" width="5.85546875" style="2" bestFit="1" customWidth="1"/>
    <col min="69" max="69" width="5.42578125" style="2" bestFit="1" customWidth="1"/>
    <col min="70" max="16384" width="11.42578125" style="2"/>
  </cols>
  <sheetData>
    <row r="1" spans="2:69" ht="28.5">
      <c r="B1" s="11" t="s">
        <v>0</v>
      </c>
    </row>
    <row r="2" spans="2:69" ht="30" customHeight="1">
      <c r="B2" s="20" t="s">
        <v>1</v>
      </c>
      <c r="C2" s="20"/>
    </row>
    <row r="3" spans="2:69" ht="21">
      <c r="B3" s="13"/>
    </row>
    <row r="4" spans="2:69">
      <c r="H4" s="18" t="s">
        <v>2</v>
      </c>
      <c r="I4" s="19"/>
      <c r="J4" s="8"/>
      <c r="K4" s="18" t="s">
        <v>3</v>
      </c>
      <c r="L4" s="19"/>
      <c r="M4" s="8"/>
      <c r="N4" s="18" t="s">
        <v>4</v>
      </c>
      <c r="O4" s="19"/>
      <c r="P4" s="8"/>
      <c r="Q4" s="18" t="s">
        <v>5</v>
      </c>
      <c r="R4" s="19"/>
      <c r="S4" s="8"/>
      <c r="T4" s="18" t="s">
        <v>6</v>
      </c>
      <c r="U4" s="19"/>
      <c r="V4" s="8"/>
      <c r="W4" s="18" t="s">
        <v>7</v>
      </c>
      <c r="X4" s="19"/>
      <c r="Y4" s="8"/>
      <c r="Z4" s="18" t="s">
        <v>8</v>
      </c>
      <c r="AA4" s="19"/>
      <c r="AB4" s="8"/>
      <c r="AC4" s="18" t="s">
        <v>9</v>
      </c>
      <c r="AD4" s="19"/>
      <c r="AE4" s="8"/>
      <c r="AF4" s="18" t="s">
        <v>10</v>
      </c>
      <c r="AG4" s="19"/>
      <c r="AH4" s="8"/>
      <c r="AI4" s="18" t="s">
        <v>11</v>
      </c>
      <c r="AJ4" s="19"/>
      <c r="AK4" s="8"/>
      <c r="AL4" s="18" t="s">
        <v>12</v>
      </c>
      <c r="AM4" s="19"/>
      <c r="AN4" s="8"/>
      <c r="AO4" s="18" t="s">
        <v>13</v>
      </c>
      <c r="AP4" s="19"/>
      <c r="AQ4" s="8"/>
      <c r="AR4" s="18" t="s">
        <v>14</v>
      </c>
      <c r="AS4" s="19"/>
      <c r="AT4" s="8"/>
      <c r="AU4" s="18" t="s">
        <v>15</v>
      </c>
      <c r="AV4" s="19"/>
      <c r="AW4" s="8"/>
      <c r="AX4" s="18" t="s">
        <v>16</v>
      </c>
      <c r="AY4" s="19"/>
      <c r="AZ4" s="8"/>
      <c r="BA4" s="18" t="s">
        <v>17</v>
      </c>
      <c r="BB4" s="19"/>
      <c r="BC4" s="8"/>
      <c r="BD4" s="18" t="s">
        <v>18</v>
      </c>
      <c r="BE4" s="19"/>
      <c r="BF4" s="8"/>
      <c r="BG4" s="18" t="s">
        <v>19</v>
      </c>
      <c r="BH4" s="19"/>
      <c r="BI4" s="8"/>
      <c r="BJ4" s="18" t="s">
        <v>20</v>
      </c>
      <c r="BK4" s="19"/>
      <c r="BL4" s="8"/>
      <c r="BM4" s="18" t="s">
        <v>21</v>
      </c>
      <c r="BN4" s="19"/>
      <c r="BO4" s="8"/>
      <c r="BP4" s="18" t="s">
        <v>22</v>
      </c>
      <c r="BQ4" s="19"/>
    </row>
    <row r="5" spans="2:69" ht="43.15">
      <c r="B5" s="5" t="s">
        <v>23</v>
      </c>
      <c r="C5" s="5" t="s">
        <v>24</v>
      </c>
      <c r="D5" s="5" t="s">
        <v>25</v>
      </c>
      <c r="E5" s="5" t="s">
        <v>26</v>
      </c>
      <c r="F5" s="5" t="s">
        <v>27</v>
      </c>
      <c r="G5" s="5" t="s">
        <v>28</v>
      </c>
      <c r="H5" s="6" t="s">
        <v>29</v>
      </c>
      <c r="I5" s="6" t="s">
        <v>30</v>
      </c>
      <c r="J5" s="6"/>
      <c r="K5" s="6" t="s">
        <v>29</v>
      </c>
      <c r="L5" s="6" t="s">
        <v>30</v>
      </c>
      <c r="M5" s="6"/>
      <c r="N5" s="6" t="s">
        <v>29</v>
      </c>
      <c r="O5" s="6" t="s">
        <v>30</v>
      </c>
      <c r="P5" s="6"/>
      <c r="Q5" s="6" t="s">
        <v>29</v>
      </c>
      <c r="R5" s="6" t="s">
        <v>30</v>
      </c>
      <c r="S5" s="6"/>
      <c r="T5" s="6" t="s">
        <v>29</v>
      </c>
      <c r="U5" s="6" t="s">
        <v>30</v>
      </c>
      <c r="V5" s="6"/>
      <c r="W5" s="6" t="s">
        <v>29</v>
      </c>
      <c r="X5" s="6" t="s">
        <v>30</v>
      </c>
      <c r="Y5" s="6"/>
      <c r="Z5" s="6" t="s">
        <v>29</v>
      </c>
      <c r="AA5" s="6" t="s">
        <v>30</v>
      </c>
      <c r="AB5" s="6"/>
      <c r="AC5" s="6" t="s">
        <v>29</v>
      </c>
      <c r="AD5" s="6" t="s">
        <v>30</v>
      </c>
      <c r="AE5" s="6"/>
      <c r="AF5" s="6" t="s">
        <v>29</v>
      </c>
      <c r="AG5" s="6" t="s">
        <v>30</v>
      </c>
      <c r="AH5" s="6"/>
      <c r="AI5" s="6" t="s">
        <v>29</v>
      </c>
      <c r="AJ5" s="6" t="s">
        <v>30</v>
      </c>
      <c r="AK5" s="6"/>
      <c r="AL5" s="6" t="s">
        <v>29</v>
      </c>
      <c r="AM5" s="6" t="s">
        <v>30</v>
      </c>
      <c r="AN5" s="6"/>
      <c r="AO5" s="6" t="s">
        <v>29</v>
      </c>
      <c r="AP5" s="6" t="s">
        <v>30</v>
      </c>
      <c r="AQ5" s="6"/>
      <c r="AR5" s="6" t="s">
        <v>29</v>
      </c>
      <c r="AS5" s="6" t="s">
        <v>30</v>
      </c>
      <c r="AT5" s="6"/>
      <c r="AU5" s="6" t="s">
        <v>29</v>
      </c>
      <c r="AV5" s="6" t="s">
        <v>30</v>
      </c>
      <c r="AW5" s="6"/>
      <c r="AX5" s="6" t="s">
        <v>29</v>
      </c>
      <c r="AY5" s="6" t="s">
        <v>30</v>
      </c>
      <c r="AZ5" s="6"/>
      <c r="BA5" s="6" t="s">
        <v>29</v>
      </c>
      <c r="BB5" s="6" t="s">
        <v>30</v>
      </c>
      <c r="BC5" s="6"/>
      <c r="BD5" s="6" t="s">
        <v>29</v>
      </c>
      <c r="BE5" s="6" t="s">
        <v>30</v>
      </c>
      <c r="BF5" s="6"/>
      <c r="BG5" s="6" t="s">
        <v>29</v>
      </c>
      <c r="BH5" s="6" t="s">
        <v>30</v>
      </c>
      <c r="BI5" s="6"/>
      <c r="BJ5" s="6" t="s">
        <v>29</v>
      </c>
      <c r="BK5" s="6" t="s">
        <v>30</v>
      </c>
      <c r="BL5" s="6"/>
      <c r="BM5" s="6" t="s">
        <v>29</v>
      </c>
      <c r="BN5" s="6" t="s">
        <v>30</v>
      </c>
      <c r="BO5" s="6"/>
      <c r="BP5" s="6" t="s">
        <v>29</v>
      </c>
      <c r="BQ5" s="6" t="s">
        <v>30</v>
      </c>
    </row>
    <row r="6" spans="2:69" ht="45.75">
      <c r="B6" s="4" t="s">
        <v>31</v>
      </c>
      <c r="C6" s="14" t="s">
        <v>32</v>
      </c>
      <c r="D6" s="17" t="s">
        <v>33</v>
      </c>
      <c r="E6" s="15" t="s">
        <v>34</v>
      </c>
      <c r="F6" s="4" t="s">
        <v>35</v>
      </c>
      <c r="G6" s="16">
        <v>6</v>
      </c>
      <c r="H6" s="7">
        <v>2</v>
      </c>
      <c r="I6" s="7">
        <f t="shared" ref="I6:I9" si="0">G6-H6</f>
        <v>4</v>
      </c>
      <c r="J6" s="9"/>
      <c r="K6" s="7"/>
      <c r="L6" s="7">
        <f t="shared" ref="L6:L9" si="1">I6-K6</f>
        <v>4</v>
      </c>
      <c r="M6" s="9"/>
      <c r="N6" s="7">
        <v>2</v>
      </c>
      <c r="O6" s="7">
        <f t="shared" ref="O6:O9" si="2">L6-N6</f>
        <v>2</v>
      </c>
      <c r="P6" s="9"/>
      <c r="Q6" s="7">
        <v>1</v>
      </c>
      <c r="R6" s="7">
        <f t="shared" ref="R6:R9" si="3">O6-Q6</f>
        <v>1</v>
      </c>
      <c r="S6" s="9"/>
      <c r="T6" s="7">
        <v>1</v>
      </c>
      <c r="U6" s="7">
        <f t="shared" ref="U6:U9" si="4">R6-T6</f>
        <v>0</v>
      </c>
      <c r="V6" s="9"/>
      <c r="W6" s="7"/>
      <c r="X6" s="7">
        <f t="shared" ref="X6:X9" si="5">U6-W6</f>
        <v>0</v>
      </c>
      <c r="Y6" s="9"/>
      <c r="Z6" s="7"/>
      <c r="AA6" s="7">
        <f t="shared" ref="AA6:AA9" si="6">X6-Z6</f>
        <v>0</v>
      </c>
      <c r="AB6" s="9"/>
      <c r="AC6" s="7"/>
      <c r="AD6" s="7">
        <f t="shared" ref="AD6:AD9" si="7">AA6-AC6</f>
        <v>0</v>
      </c>
      <c r="AE6" s="9"/>
      <c r="AF6" s="7"/>
      <c r="AG6" s="7">
        <f t="shared" ref="AG6:AG9" si="8">AD6-AF6</f>
        <v>0</v>
      </c>
      <c r="AH6" s="9"/>
      <c r="AI6" s="7"/>
      <c r="AJ6" s="7">
        <f t="shared" ref="AJ6:AJ9" si="9">AG6-AI6</f>
        <v>0</v>
      </c>
      <c r="AK6" s="9"/>
      <c r="AL6" s="7"/>
      <c r="AM6" s="7">
        <f t="shared" ref="AM6:AM9" si="10">AJ6-AL6</f>
        <v>0</v>
      </c>
      <c r="AN6" s="9"/>
      <c r="AO6" s="7"/>
      <c r="AP6" s="7">
        <f t="shared" ref="AP6:AP9" si="11">AM6-AO6</f>
        <v>0</v>
      </c>
      <c r="AQ6" s="9"/>
      <c r="AR6" s="7"/>
      <c r="AS6" s="7">
        <f t="shared" ref="AS6:AS9" si="12">AP6-AR6</f>
        <v>0</v>
      </c>
      <c r="AT6" s="9"/>
      <c r="AU6" s="7"/>
      <c r="AV6" s="7">
        <f t="shared" ref="AV6:AV9" si="13">AS6-AU6</f>
        <v>0</v>
      </c>
      <c r="AW6" s="9"/>
      <c r="AX6" s="7"/>
      <c r="AY6" s="7">
        <f t="shared" ref="AY6:AY9" si="14">AV6-AX6</f>
        <v>0</v>
      </c>
      <c r="AZ6" s="9"/>
      <c r="BA6" s="7"/>
      <c r="BB6" s="7">
        <f t="shared" ref="BB6:BB9" si="15">AY6-BA6</f>
        <v>0</v>
      </c>
      <c r="BC6" s="9"/>
      <c r="BD6" s="7"/>
      <c r="BE6" s="7">
        <f t="shared" ref="BE6:BE9" si="16">BB6-BD6</f>
        <v>0</v>
      </c>
      <c r="BF6" s="9"/>
      <c r="BG6" s="7"/>
      <c r="BH6" s="7">
        <f t="shared" ref="BH6:BH9" si="17">BE6-BG6</f>
        <v>0</v>
      </c>
      <c r="BI6" s="9"/>
      <c r="BJ6" s="7"/>
      <c r="BK6" s="7">
        <f t="shared" ref="BK6:BK9" si="18">BH6-BJ6</f>
        <v>0</v>
      </c>
      <c r="BL6" s="9"/>
      <c r="BM6" s="7"/>
      <c r="BN6" s="7">
        <f t="shared" ref="BN6:BN9" si="19">BK6-BM6</f>
        <v>0</v>
      </c>
      <c r="BO6" s="9"/>
      <c r="BP6" s="10">
        <f t="shared" ref="BP6:BP9" si="20">H6+K6+N6+Q6+T6+W6+Z6+AC6+AF6+AI6+AL6+AO6+AR6+AU6+AX6+BA6+BD6+BG6+BJ6+BM6</f>
        <v>6</v>
      </c>
      <c r="BQ6" s="10">
        <f t="shared" ref="BQ6:BQ9" si="21">G6-BP6</f>
        <v>0</v>
      </c>
    </row>
    <row r="7" spans="2:69" ht="45.75">
      <c r="B7" s="4" t="s">
        <v>36</v>
      </c>
      <c r="C7" s="14" t="s">
        <v>32</v>
      </c>
      <c r="D7" s="17" t="s">
        <v>37</v>
      </c>
      <c r="E7" s="15" t="s">
        <v>38</v>
      </c>
      <c r="F7" s="4" t="s">
        <v>35</v>
      </c>
      <c r="G7" s="16">
        <v>8</v>
      </c>
      <c r="H7" s="7">
        <v>1.5</v>
      </c>
      <c r="I7" s="7">
        <f t="shared" ref="I7" si="22">G7-H7</f>
        <v>6.5</v>
      </c>
      <c r="J7" s="9"/>
      <c r="K7" s="7">
        <v>0.5</v>
      </c>
      <c r="L7" s="7">
        <f t="shared" ref="L7" si="23">I7-K7</f>
        <v>6</v>
      </c>
      <c r="M7" s="9"/>
      <c r="N7" s="7">
        <v>1</v>
      </c>
      <c r="O7" s="7">
        <f t="shared" ref="O7" si="24">L7-N7</f>
        <v>5</v>
      </c>
      <c r="P7" s="9"/>
      <c r="Q7" s="7"/>
      <c r="R7" s="7">
        <f t="shared" ref="R7" si="25">O7-Q7</f>
        <v>5</v>
      </c>
      <c r="S7" s="9"/>
      <c r="T7" s="7"/>
      <c r="U7" s="7">
        <f t="shared" ref="U7" si="26">R7-T7</f>
        <v>5</v>
      </c>
      <c r="V7" s="9"/>
      <c r="W7" s="7"/>
      <c r="X7" s="7">
        <f t="shared" ref="X7" si="27">U7-W7</f>
        <v>5</v>
      </c>
      <c r="Y7" s="9"/>
      <c r="Z7" s="7"/>
      <c r="AA7" s="7">
        <f t="shared" ref="AA7" si="28">X7-Z7</f>
        <v>5</v>
      </c>
      <c r="AB7" s="9"/>
      <c r="AC7" s="7">
        <v>1</v>
      </c>
      <c r="AD7" s="7">
        <f t="shared" ref="AD7" si="29">AA7-AC7</f>
        <v>4</v>
      </c>
      <c r="AE7" s="9"/>
      <c r="AF7" s="7">
        <v>1.5</v>
      </c>
      <c r="AG7" s="7">
        <f t="shared" ref="AG7" si="30">AD7-AF7</f>
        <v>2.5</v>
      </c>
      <c r="AH7" s="9"/>
      <c r="AI7" s="7">
        <v>0.5</v>
      </c>
      <c r="AJ7" s="7">
        <f t="shared" ref="AJ7" si="31">AG7-AI7</f>
        <v>2</v>
      </c>
      <c r="AK7" s="9"/>
      <c r="AL7" s="7">
        <v>2</v>
      </c>
      <c r="AM7" s="7">
        <f t="shared" ref="AM7" si="32">AJ7-AL7</f>
        <v>0</v>
      </c>
      <c r="AN7" s="9"/>
      <c r="AO7" s="7"/>
      <c r="AP7" s="7">
        <f t="shared" ref="AP7" si="33">AM7-AO7</f>
        <v>0</v>
      </c>
      <c r="AQ7" s="9"/>
      <c r="AR7" s="7"/>
      <c r="AS7" s="7">
        <f t="shared" ref="AS7" si="34">AP7-AR7</f>
        <v>0</v>
      </c>
      <c r="AT7" s="9"/>
      <c r="AU7" s="7"/>
      <c r="AV7" s="7">
        <f t="shared" ref="AV7" si="35">AS7-AU7</f>
        <v>0</v>
      </c>
      <c r="AW7" s="9"/>
      <c r="AX7" s="7"/>
      <c r="AY7" s="7">
        <f t="shared" ref="AY7" si="36">AV7-AX7</f>
        <v>0</v>
      </c>
      <c r="AZ7" s="9"/>
      <c r="BA7" s="7"/>
      <c r="BB7" s="7">
        <f t="shared" ref="BB7" si="37">AY7-BA7</f>
        <v>0</v>
      </c>
      <c r="BC7" s="9"/>
      <c r="BD7" s="7"/>
      <c r="BE7" s="7">
        <f t="shared" ref="BE7" si="38">BB7-BD7</f>
        <v>0</v>
      </c>
      <c r="BF7" s="9"/>
      <c r="BG7" s="7"/>
      <c r="BH7" s="7">
        <f t="shared" ref="BH7" si="39">BE7-BG7</f>
        <v>0</v>
      </c>
      <c r="BI7" s="9"/>
      <c r="BJ7" s="7"/>
      <c r="BK7" s="7">
        <f t="shared" ref="BK7" si="40">BH7-BJ7</f>
        <v>0</v>
      </c>
      <c r="BL7" s="9"/>
      <c r="BM7" s="7"/>
      <c r="BN7" s="7">
        <f t="shared" ref="BN7" si="41">BK7-BM7</f>
        <v>0</v>
      </c>
      <c r="BO7" s="9"/>
      <c r="BP7" s="10">
        <f t="shared" ref="BP7" si="42">H7+K7+N7+Q7+T7+W7+Z7+AC7+AF7+AI7+AL7+AO7+AR7+AU7+AX7+BA7+BD7+BG7+BJ7+BM7</f>
        <v>8</v>
      </c>
      <c r="BQ7" s="10">
        <f t="shared" ref="BQ7" si="43">G7-BP7</f>
        <v>0</v>
      </c>
    </row>
    <row r="8" spans="2:69" ht="45.75">
      <c r="B8" s="4" t="s">
        <v>39</v>
      </c>
      <c r="C8" s="14" t="s">
        <v>32</v>
      </c>
      <c r="D8" s="17" t="s">
        <v>40</v>
      </c>
      <c r="E8" s="15" t="s">
        <v>41</v>
      </c>
      <c r="F8" s="4" t="s">
        <v>35</v>
      </c>
      <c r="G8" s="16">
        <v>10</v>
      </c>
      <c r="H8" s="7">
        <v>1.5</v>
      </c>
      <c r="I8" s="7">
        <f t="shared" si="0"/>
        <v>8.5</v>
      </c>
      <c r="J8" s="9"/>
      <c r="K8" s="7">
        <v>1</v>
      </c>
      <c r="L8" s="7">
        <f t="shared" si="1"/>
        <v>7.5</v>
      </c>
      <c r="M8" s="9"/>
      <c r="N8" s="7"/>
      <c r="O8" s="7">
        <f t="shared" si="2"/>
        <v>7.5</v>
      </c>
      <c r="P8" s="9"/>
      <c r="Q8" s="7">
        <v>1</v>
      </c>
      <c r="R8" s="7">
        <f t="shared" si="3"/>
        <v>6.5</v>
      </c>
      <c r="S8" s="9"/>
      <c r="T8" s="7">
        <v>1</v>
      </c>
      <c r="U8" s="7">
        <f t="shared" si="4"/>
        <v>5.5</v>
      </c>
      <c r="V8" s="9"/>
      <c r="W8" s="7"/>
      <c r="X8" s="7">
        <f t="shared" si="5"/>
        <v>5.5</v>
      </c>
      <c r="Y8" s="9"/>
      <c r="Z8" s="7"/>
      <c r="AA8" s="7">
        <f t="shared" si="6"/>
        <v>5.5</v>
      </c>
      <c r="AB8" s="9"/>
      <c r="AC8" s="7">
        <v>2</v>
      </c>
      <c r="AD8" s="7">
        <f t="shared" si="7"/>
        <v>3.5</v>
      </c>
      <c r="AE8" s="9"/>
      <c r="AF8" s="7">
        <v>2</v>
      </c>
      <c r="AG8" s="7">
        <f t="shared" si="8"/>
        <v>1.5</v>
      </c>
      <c r="AH8" s="9"/>
      <c r="AI8" s="7">
        <v>1.5</v>
      </c>
      <c r="AJ8" s="7">
        <f t="shared" si="9"/>
        <v>0</v>
      </c>
      <c r="AK8" s="9"/>
      <c r="AL8" s="7"/>
      <c r="AM8" s="7">
        <f t="shared" si="10"/>
        <v>0</v>
      </c>
      <c r="AN8" s="9"/>
      <c r="AO8" s="7"/>
      <c r="AP8" s="7">
        <f t="shared" si="11"/>
        <v>0</v>
      </c>
      <c r="AQ8" s="9"/>
      <c r="AR8" s="7"/>
      <c r="AS8" s="7">
        <f t="shared" si="12"/>
        <v>0</v>
      </c>
      <c r="AT8" s="9"/>
      <c r="AU8" s="7"/>
      <c r="AV8" s="7">
        <f t="shared" si="13"/>
        <v>0</v>
      </c>
      <c r="AW8" s="9"/>
      <c r="AX8" s="7"/>
      <c r="AY8" s="7">
        <f t="shared" si="14"/>
        <v>0</v>
      </c>
      <c r="AZ8" s="9"/>
      <c r="BA8" s="7"/>
      <c r="BB8" s="7">
        <f t="shared" si="15"/>
        <v>0</v>
      </c>
      <c r="BC8" s="9"/>
      <c r="BD8" s="7"/>
      <c r="BE8" s="7">
        <f t="shared" si="16"/>
        <v>0</v>
      </c>
      <c r="BF8" s="9"/>
      <c r="BG8" s="7"/>
      <c r="BH8" s="7">
        <f t="shared" si="17"/>
        <v>0</v>
      </c>
      <c r="BI8" s="9"/>
      <c r="BJ8" s="7"/>
      <c r="BK8" s="7">
        <f t="shared" si="18"/>
        <v>0</v>
      </c>
      <c r="BL8" s="9"/>
      <c r="BM8" s="7"/>
      <c r="BN8" s="7">
        <f t="shared" si="19"/>
        <v>0</v>
      </c>
      <c r="BO8" s="9"/>
      <c r="BP8" s="10">
        <f t="shared" si="20"/>
        <v>10</v>
      </c>
      <c r="BQ8" s="10">
        <f t="shared" si="21"/>
        <v>0</v>
      </c>
    </row>
    <row r="9" spans="2:69" ht="45.75">
      <c r="B9" s="4" t="s">
        <v>42</v>
      </c>
      <c r="C9" s="12" t="s">
        <v>43</v>
      </c>
      <c r="D9" s="17" t="s">
        <v>44</v>
      </c>
      <c r="E9" s="16" t="s">
        <v>38</v>
      </c>
      <c r="F9" s="4" t="s">
        <v>35</v>
      </c>
      <c r="G9" s="16">
        <v>8</v>
      </c>
      <c r="H9" s="7">
        <v>2</v>
      </c>
      <c r="I9" s="7">
        <f t="shared" si="0"/>
        <v>6</v>
      </c>
      <c r="J9" s="9"/>
      <c r="K9" s="7"/>
      <c r="L9" s="7">
        <f t="shared" si="1"/>
        <v>6</v>
      </c>
      <c r="M9" s="9"/>
      <c r="N9" s="7">
        <v>2</v>
      </c>
      <c r="O9" s="7">
        <f t="shared" si="2"/>
        <v>4</v>
      </c>
      <c r="P9" s="9"/>
      <c r="Q9" s="7"/>
      <c r="R9" s="7">
        <f t="shared" si="3"/>
        <v>4</v>
      </c>
      <c r="S9" s="9"/>
      <c r="T9" s="7"/>
      <c r="U9" s="7">
        <f t="shared" si="4"/>
        <v>4</v>
      </c>
      <c r="V9" s="9"/>
      <c r="W9" s="7">
        <v>2</v>
      </c>
      <c r="X9" s="7">
        <f t="shared" si="5"/>
        <v>2</v>
      </c>
      <c r="Y9" s="9"/>
      <c r="Z9" s="7">
        <v>2</v>
      </c>
      <c r="AA9" s="7">
        <f t="shared" si="6"/>
        <v>0</v>
      </c>
      <c r="AB9" s="9"/>
      <c r="AC9" s="7"/>
      <c r="AD9" s="7">
        <f t="shared" si="7"/>
        <v>0</v>
      </c>
      <c r="AE9" s="9"/>
      <c r="AF9" s="7"/>
      <c r="AG9" s="7">
        <f t="shared" si="8"/>
        <v>0</v>
      </c>
      <c r="AH9" s="9"/>
      <c r="AI9" s="7"/>
      <c r="AJ9" s="7">
        <f t="shared" si="9"/>
        <v>0</v>
      </c>
      <c r="AK9" s="9"/>
      <c r="AL9" s="7"/>
      <c r="AM9" s="7">
        <f t="shared" si="10"/>
        <v>0</v>
      </c>
      <c r="AN9" s="9"/>
      <c r="AO9" s="7"/>
      <c r="AP9" s="7">
        <f t="shared" si="11"/>
        <v>0</v>
      </c>
      <c r="AQ9" s="9"/>
      <c r="AR9" s="7"/>
      <c r="AS9" s="7">
        <f t="shared" si="12"/>
        <v>0</v>
      </c>
      <c r="AT9" s="9"/>
      <c r="AU9" s="7"/>
      <c r="AV9" s="7">
        <f t="shared" si="13"/>
        <v>0</v>
      </c>
      <c r="AW9" s="9"/>
      <c r="AX9" s="7"/>
      <c r="AY9" s="7">
        <f t="shared" si="14"/>
        <v>0</v>
      </c>
      <c r="AZ9" s="9"/>
      <c r="BA9" s="7"/>
      <c r="BB9" s="7">
        <f t="shared" si="15"/>
        <v>0</v>
      </c>
      <c r="BC9" s="9"/>
      <c r="BD9" s="7"/>
      <c r="BE9" s="7">
        <f t="shared" si="16"/>
        <v>0</v>
      </c>
      <c r="BF9" s="9"/>
      <c r="BG9" s="7"/>
      <c r="BH9" s="7">
        <f t="shared" si="17"/>
        <v>0</v>
      </c>
      <c r="BI9" s="9"/>
      <c r="BJ9" s="7"/>
      <c r="BK9" s="7">
        <f t="shared" si="18"/>
        <v>0</v>
      </c>
      <c r="BL9" s="9"/>
      <c r="BM9" s="7"/>
      <c r="BN9" s="7">
        <f t="shared" si="19"/>
        <v>0</v>
      </c>
      <c r="BO9" s="9"/>
      <c r="BP9" s="10">
        <f t="shared" si="20"/>
        <v>8</v>
      </c>
      <c r="BQ9" s="10">
        <f t="shared" si="21"/>
        <v>0</v>
      </c>
    </row>
    <row r="10" spans="2:69" ht="45.75">
      <c r="B10" s="4" t="s">
        <v>45</v>
      </c>
      <c r="C10" s="12" t="s">
        <v>43</v>
      </c>
      <c r="D10" s="17" t="s">
        <v>46</v>
      </c>
      <c r="E10" s="16" t="s">
        <v>38</v>
      </c>
      <c r="F10" s="4" t="s">
        <v>35</v>
      </c>
      <c r="G10" s="16">
        <v>8</v>
      </c>
      <c r="H10" s="7">
        <v>2</v>
      </c>
      <c r="I10" s="7">
        <f t="shared" ref="I10:I14" si="44">G10-H10</f>
        <v>6</v>
      </c>
      <c r="J10" s="9"/>
      <c r="K10" s="7">
        <v>2</v>
      </c>
      <c r="L10" s="7">
        <f t="shared" ref="L10:L14" si="45">I10-K10</f>
        <v>4</v>
      </c>
      <c r="M10" s="9"/>
      <c r="N10" s="7"/>
      <c r="O10" s="7">
        <f t="shared" ref="O10:O14" si="46">L10-N10</f>
        <v>4</v>
      </c>
      <c r="P10" s="9"/>
      <c r="Q10" s="7">
        <v>2</v>
      </c>
      <c r="R10" s="7">
        <f t="shared" ref="R10:R14" si="47">O10-Q10</f>
        <v>2</v>
      </c>
      <c r="S10" s="9"/>
      <c r="T10" s="7">
        <v>2</v>
      </c>
      <c r="U10" s="7">
        <f t="shared" ref="U10:U14" si="48">R10-T10</f>
        <v>0</v>
      </c>
      <c r="V10" s="9"/>
      <c r="W10" s="7"/>
      <c r="X10" s="7">
        <f t="shared" ref="X10:X14" si="49">U10-W10</f>
        <v>0</v>
      </c>
      <c r="Y10" s="9"/>
      <c r="Z10" s="7"/>
      <c r="AA10" s="7">
        <f t="shared" ref="AA10:AA14" si="50">X10-Z10</f>
        <v>0</v>
      </c>
      <c r="AB10" s="9"/>
      <c r="AC10" s="7"/>
      <c r="AD10" s="7">
        <f t="shared" ref="AD10:AD14" si="51">AA10-AC10</f>
        <v>0</v>
      </c>
      <c r="AE10" s="9"/>
      <c r="AF10" s="7"/>
      <c r="AG10" s="7">
        <f t="shared" ref="AG10:AG14" si="52">AD10-AF10</f>
        <v>0</v>
      </c>
      <c r="AH10" s="9"/>
      <c r="AI10" s="7"/>
      <c r="AJ10" s="7">
        <f t="shared" ref="AJ10:AJ14" si="53">AG10-AI10</f>
        <v>0</v>
      </c>
      <c r="AK10" s="9"/>
      <c r="AL10" s="7"/>
      <c r="AM10" s="7">
        <f t="shared" ref="AM10:AM14" si="54">AJ10-AL10</f>
        <v>0</v>
      </c>
      <c r="AN10" s="9"/>
      <c r="AO10" s="7"/>
      <c r="AP10" s="7">
        <f t="shared" ref="AP10:AP14" si="55">AM10-AO10</f>
        <v>0</v>
      </c>
      <c r="AQ10" s="9"/>
      <c r="AR10" s="7"/>
      <c r="AS10" s="7">
        <f t="shared" ref="AS10:AS14" si="56">AP10-AR10</f>
        <v>0</v>
      </c>
      <c r="AT10" s="9"/>
      <c r="AU10" s="7"/>
      <c r="AV10" s="7">
        <f t="shared" ref="AV10:AV14" si="57">AS10-AU10</f>
        <v>0</v>
      </c>
      <c r="AW10" s="9"/>
      <c r="AX10" s="7"/>
      <c r="AY10" s="7">
        <f t="shared" ref="AY10:AY14" si="58">AV10-AX10</f>
        <v>0</v>
      </c>
      <c r="AZ10" s="9"/>
      <c r="BA10" s="7"/>
      <c r="BB10" s="7">
        <f t="shared" ref="BB10:BB14" si="59">AY10-BA10</f>
        <v>0</v>
      </c>
      <c r="BC10" s="9"/>
      <c r="BD10" s="7"/>
      <c r="BE10" s="7">
        <f t="shared" ref="BE10:BE14" si="60">BB10-BD10</f>
        <v>0</v>
      </c>
      <c r="BF10" s="9"/>
      <c r="BG10" s="7"/>
      <c r="BH10" s="7">
        <f t="shared" ref="BH10:BH14" si="61">BE10-BG10</f>
        <v>0</v>
      </c>
      <c r="BI10" s="9"/>
      <c r="BJ10" s="7"/>
      <c r="BK10" s="7">
        <f t="shared" ref="BK10:BK14" si="62">BH10-BJ10</f>
        <v>0</v>
      </c>
      <c r="BL10" s="9"/>
      <c r="BM10" s="7"/>
      <c r="BN10" s="7">
        <f t="shared" ref="BN10:BN14" si="63">BK10-BM10</f>
        <v>0</v>
      </c>
      <c r="BO10" s="9"/>
      <c r="BP10" s="10">
        <f t="shared" ref="BP10:BP14" si="64">H10+K10+N10+Q10+T10+W10+Z10+AC10+AF10+AI10+AL10+AO10+AR10+AU10+AX10+BA10+BD10+BG10+BJ10+BM10</f>
        <v>8</v>
      </c>
      <c r="BQ10" s="10">
        <f t="shared" ref="BQ10:BQ14" si="65">G10-BP10</f>
        <v>0</v>
      </c>
    </row>
    <row r="11" spans="2:69" ht="45.75">
      <c r="B11" s="4" t="s">
        <v>47</v>
      </c>
      <c r="C11" s="12" t="s">
        <v>43</v>
      </c>
      <c r="D11" s="17" t="s">
        <v>48</v>
      </c>
      <c r="E11" s="16" t="s">
        <v>38</v>
      </c>
      <c r="F11" s="4" t="s">
        <v>35</v>
      </c>
      <c r="G11" s="16">
        <v>14</v>
      </c>
      <c r="H11" s="7"/>
      <c r="I11" s="7">
        <f t="shared" si="44"/>
        <v>14</v>
      </c>
      <c r="J11" s="9"/>
      <c r="K11" s="7">
        <v>4</v>
      </c>
      <c r="L11" s="7">
        <f t="shared" si="45"/>
        <v>10</v>
      </c>
      <c r="M11" s="9"/>
      <c r="N11" s="7">
        <v>2</v>
      </c>
      <c r="O11" s="7">
        <f t="shared" si="46"/>
        <v>8</v>
      </c>
      <c r="P11" s="9"/>
      <c r="Q11" s="7"/>
      <c r="R11" s="7">
        <f t="shared" si="47"/>
        <v>8</v>
      </c>
      <c r="S11" s="9"/>
      <c r="T11" s="7"/>
      <c r="U11" s="7">
        <f t="shared" si="48"/>
        <v>8</v>
      </c>
      <c r="V11" s="9"/>
      <c r="W11" s="7">
        <v>2</v>
      </c>
      <c r="X11" s="7">
        <f t="shared" si="49"/>
        <v>6</v>
      </c>
      <c r="Y11" s="9"/>
      <c r="Z11" s="7">
        <v>3</v>
      </c>
      <c r="AA11" s="7">
        <f t="shared" si="50"/>
        <v>3</v>
      </c>
      <c r="AB11" s="9"/>
      <c r="AC11" s="7"/>
      <c r="AD11" s="7">
        <f t="shared" si="51"/>
        <v>3</v>
      </c>
      <c r="AE11" s="9"/>
      <c r="AF11" s="7">
        <v>3</v>
      </c>
      <c r="AG11" s="7">
        <f>AD11-AF11</f>
        <v>0</v>
      </c>
      <c r="AH11" s="9"/>
      <c r="AI11" s="7"/>
      <c r="AJ11" s="7">
        <f>AG11-AI11</f>
        <v>0</v>
      </c>
      <c r="AK11" s="9"/>
      <c r="AL11" s="7"/>
      <c r="AM11" s="7">
        <f t="shared" si="54"/>
        <v>0</v>
      </c>
      <c r="AN11" s="9"/>
      <c r="AO11" s="7"/>
      <c r="AP11" s="7">
        <f t="shared" si="55"/>
        <v>0</v>
      </c>
      <c r="AQ11" s="9"/>
      <c r="AR11" s="7"/>
      <c r="AS11" s="7">
        <f t="shared" si="56"/>
        <v>0</v>
      </c>
      <c r="AT11" s="9"/>
      <c r="AU11" s="7"/>
      <c r="AV11" s="7">
        <f t="shared" si="57"/>
        <v>0</v>
      </c>
      <c r="AW11" s="9"/>
      <c r="AX11" s="7"/>
      <c r="AY11" s="7">
        <f t="shared" si="58"/>
        <v>0</v>
      </c>
      <c r="AZ11" s="9"/>
      <c r="BA11" s="7"/>
      <c r="BB11" s="7">
        <f t="shared" si="59"/>
        <v>0</v>
      </c>
      <c r="BC11" s="9"/>
      <c r="BD11" s="7"/>
      <c r="BE11" s="7">
        <f t="shared" si="60"/>
        <v>0</v>
      </c>
      <c r="BF11" s="9"/>
      <c r="BG11" s="7"/>
      <c r="BH11" s="7">
        <f t="shared" si="61"/>
        <v>0</v>
      </c>
      <c r="BI11" s="9"/>
      <c r="BJ11" s="7"/>
      <c r="BK11" s="7">
        <f t="shared" si="62"/>
        <v>0</v>
      </c>
      <c r="BL11" s="9"/>
      <c r="BM11" s="7"/>
      <c r="BN11" s="7">
        <f t="shared" si="63"/>
        <v>0</v>
      </c>
      <c r="BO11" s="9"/>
      <c r="BP11" s="10">
        <f>H11+K11+N11+Q11+T11+W11+Z11+AC11+AF11+AI11+AL11+AO11+AR11+AU11+AX11+BA11+BD11+BG11+BJ11+BM11</f>
        <v>14</v>
      </c>
      <c r="BQ11" s="10">
        <f t="shared" si="65"/>
        <v>0</v>
      </c>
    </row>
    <row r="12" spans="2:69" ht="45.75">
      <c r="B12" s="4" t="s">
        <v>49</v>
      </c>
      <c r="C12" s="12" t="s">
        <v>43</v>
      </c>
      <c r="D12" s="17" t="s">
        <v>50</v>
      </c>
      <c r="E12" s="16" t="s">
        <v>51</v>
      </c>
      <c r="F12" s="4" t="s">
        <v>35</v>
      </c>
      <c r="G12" s="16">
        <v>2</v>
      </c>
      <c r="H12" s="7"/>
      <c r="I12" s="7">
        <f t="shared" ref="I12" si="66">G12-H12</f>
        <v>2</v>
      </c>
      <c r="J12" s="9"/>
      <c r="K12" s="7">
        <v>2</v>
      </c>
      <c r="L12" s="7">
        <f t="shared" ref="L12" si="67">I12-K12</f>
        <v>0</v>
      </c>
      <c r="M12" s="9"/>
      <c r="N12" s="7"/>
      <c r="O12" s="7">
        <f t="shared" ref="O12" si="68">L12-N12</f>
        <v>0</v>
      </c>
      <c r="P12" s="9"/>
      <c r="Q12" s="7"/>
      <c r="R12" s="7">
        <f t="shared" ref="R12" si="69">O12-Q12</f>
        <v>0</v>
      </c>
      <c r="S12" s="9"/>
      <c r="T12" s="7"/>
      <c r="U12" s="7">
        <f t="shared" ref="U12" si="70">R12-T12</f>
        <v>0</v>
      </c>
      <c r="V12" s="9"/>
      <c r="W12" s="7"/>
      <c r="X12" s="7">
        <f t="shared" ref="X12" si="71">U12-W12</f>
        <v>0</v>
      </c>
      <c r="Y12" s="9"/>
      <c r="Z12" s="7"/>
      <c r="AA12" s="7">
        <f t="shared" ref="AA12" si="72">X12-Z12</f>
        <v>0</v>
      </c>
      <c r="AB12" s="9"/>
      <c r="AC12" s="7"/>
      <c r="AD12" s="7">
        <f t="shared" ref="AD12" si="73">AA12-AC12</f>
        <v>0</v>
      </c>
      <c r="AE12" s="9"/>
      <c r="AF12" s="7"/>
      <c r="AG12" s="7">
        <f>AD12-AF12</f>
        <v>0</v>
      </c>
      <c r="AH12" s="9"/>
      <c r="AI12" s="7"/>
      <c r="AJ12" s="7">
        <f>AG12-AI12</f>
        <v>0</v>
      </c>
      <c r="AK12" s="9"/>
      <c r="AL12" s="7"/>
      <c r="AM12" s="7">
        <f t="shared" ref="AM12" si="74">AJ12-AL12</f>
        <v>0</v>
      </c>
      <c r="AN12" s="9"/>
      <c r="AO12" s="7"/>
      <c r="AP12" s="7">
        <f t="shared" ref="AP12" si="75">AM12-AO12</f>
        <v>0</v>
      </c>
      <c r="AQ12" s="9"/>
      <c r="AR12" s="7"/>
      <c r="AS12" s="7">
        <f t="shared" ref="AS12" si="76">AP12-AR12</f>
        <v>0</v>
      </c>
      <c r="AT12" s="9"/>
      <c r="AU12" s="7"/>
      <c r="AV12" s="7">
        <f t="shared" ref="AV12" si="77">AS12-AU12</f>
        <v>0</v>
      </c>
      <c r="AW12" s="9"/>
      <c r="AX12" s="7"/>
      <c r="AY12" s="7">
        <f t="shared" ref="AY12" si="78">AV12-AX12</f>
        <v>0</v>
      </c>
      <c r="AZ12" s="9"/>
      <c r="BA12" s="7"/>
      <c r="BB12" s="7">
        <f t="shared" ref="BB12" si="79">AY12-BA12</f>
        <v>0</v>
      </c>
      <c r="BC12" s="9"/>
      <c r="BD12" s="7"/>
      <c r="BE12" s="7">
        <f t="shared" ref="BE12" si="80">BB12-BD12</f>
        <v>0</v>
      </c>
      <c r="BF12" s="9"/>
      <c r="BG12" s="7"/>
      <c r="BH12" s="7">
        <f t="shared" ref="BH12" si="81">BE12-BG12</f>
        <v>0</v>
      </c>
      <c r="BI12" s="9"/>
      <c r="BJ12" s="7"/>
      <c r="BK12" s="7">
        <f t="shared" ref="BK12" si="82">BH12-BJ12</f>
        <v>0</v>
      </c>
      <c r="BL12" s="9"/>
      <c r="BM12" s="7"/>
      <c r="BN12" s="7">
        <f t="shared" ref="BN12" si="83">BK12-BM12</f>
        <v>0</v>
      </c>
      <c r="BO12" s="9"/>
      <c r="BP12" s="10">
        <f>H12+K12+N12+Q12+T12+W12+Z12+AC12+AF12+AI12+AL12+AO12+AR12+AU12+AX12+BA12+BD12+BG12+BJ12+BM12</f>
        <v>2</v>
      </c>
      <c r="BQ12" s="10">
        <f t="shared" ref="BQ12" si="84">G12-BP12</f>
        <v>0</v>
      </c>
    </row>
    <row r="13" spans="2:69" ht="45.75">
      <c r="B13" s="4" t="s">
        <v>52</v>
      </c>
      <c r="C13" s="12" t="s">
        <v>43</v>
      </c>
      <c r="D13" s="17" t="s">
        <v>53</v>
      </c>
      <c r="E13" s="16" t="s">
        <v>54</v>
      </c>
      <c r="F13" s="4" t="s">
        <v>35</v>
      </c>
      <c r="G13" s="16">
        <v>4</v>
      </c>
      <c r="H13" s="7">
        <v>1</v>
      </c>
      <c r="I13" s="7">
        <f t="shared" si="44"/>
        <v>3</v>
      </c>
      <c r="J13" s="9"/>
      <c r="K13" s="7">
        <v>0.5</v>
      </c>
      <c r="L13" s="7">
        <f t="shared" si="45"/>
        <v>2.5</v>
      </c>
      <c r="M13" s="9"/>
      <c r="N13" s="7">
        <v>0.5</v>
      </c>
      <c r="O13" s="7">
        <f t="shared" si="46"/>
        <v>2</v>
      </c>
      <c r="P13" s="9"/>
      <c r="Q13" s="7"/>
      <c r="R13" s="7">
        <f t="shared" si="47"/>
        <v>2</v>
      </c>
      <c r="S13" s="9"/>
      <c r="T13" s="7">
        <v>0.5</v>
      </c>
      <c r="U13" s="7">
        <f t="shared" si="48"/>
        <v>1.5</v>
      </c>
      <c r="V13" s="9"/>
      <c r="W13" s="7"/>
      <c r="X13" s="7">
        <f t="shared" si="49"/>
        <v>1.5</v>
      </c>
      <c r="Y13" s="9"/>
      <c r="Z13" s="7">
        <v>1</v>
      </c>
      <c r="AA13" s="7">
        <f t="shared" si="50"/>
        <v>0.5</v>
      </c>
      <c r="AB13" s="9"/>
      <c r="AC13" s="7">
        <v>0.5</v>
      </c>
      <c r="AD13" s="7">
        <f t="shared" si="51"/>
        <v>0</v>
      </c>
      <c r="AE13" s="9"/>
      <c r="AF13" s="7"/>
      <c r="AG13" s="7">
        <f t="shared" si="52"/>
        <v>0</v>
      </c>
      <c r="AH13" s="9"/>
      <c r="AI13" s="7"/>
      <c r="AJ13" s="7">
        <f t="shared" si="53"/>
        <v>0</v>
      </c>
      <c r="AK13" s="9"/>
      <c r="AL13" s="7"/>
      <c r="AM13" s="7">
        <f t="shared" si="54"/>
        <v>0</v>
      </c>
      <c r="AN13" s="9"/>
      <c r="AO13" s="7"/>
      <c r="AP13" s="7">
        <f t="shared" si="55"/>
        <v>0</v>
      </c>
      <c r="AQ13" s="9"/>
      <c r="AR13" s="7"/>
      <c r="AS13" s="7">
        <f t="shared" si="56"/>
        <v>0</v>
      </c>
      <c r="AT13" s="9"/>
      <c r="AU13" s="7"/>
      <c r="AV13" s="7">
        <f t="shared" si="57"/>
        <v>0</v>
      </c>
      <c r="AW13" s="9"/>
      <c r="AX13" s="7"/>
      <c r="AY13" s="7">
        <f t="shared" si="58"/>
        <v>0</v>
      </c>
      <c r="AZ13" s="9"/>
      <c r="BA13" s="7"/>
      <c r="BB13" s="7">
        <f t="shared" si="59"/>
        <v>0</v>
      </c>
      <c r="BC13" s="9"/>
      <c r="BD13" s="7"/>
      <c r="BE13" s="7">
        <f t="shared" si="60"/>
        <v>0</v>
      </c>
      <c r="BF13" s="9"/>
      <c r="BG13" s="7"/>
      <c r="BH13" s="7">
        <f t="shared" si="61"/>
        <v>0</v>
      </c>
      <c r="BI13" s="9"/>
      <c r="BJ13" s="7"/>
      <c r="BK13" s="7">
        <f t="shared" si="62"/>
        <v>0</v>
      </c>
      <c r="BL13" s="9"/>
      <c r="BM13" s="7"/>
      <c r="BN13" s="7">
        <f t="shared" si="63"/>
        <v>0</v>
      </c>
      <c r="BO13" s="9"/>
      <c r="BP13" s="10">
        <f t="shared" si="64"/>
        <v>4</v>
      </c>
      <c r="BQ13" s="10">
        <f t="shared" si="65"/>
        <v>0</v>
      </c>
    </row>
    <row r="14" spans="2:69" ht="45.75">
      <c r="B14" s="4" t="s">
        <v>55</v>
      </c>
      <c r="C14" s="12" t="s">
        <v>43</v>
      </c>
      <c r="D14" s="17" t="s">
        <v>56</v>
      </c>
      <c r="E14" s="16" t="s">
        <v>34</v>
      </c>
      <c r="F14" s="4" t="s">
        <v>35</v>
      </c>
      <c r="G14" s="16">
        <v>6</v>
      </c>
      <c r="H14" s="7">
        <v>1</v>
      </c>
      <c r="I14" s="7">
        <f t="shared" ref="I14" si="85">G14-H14</f>
        <v>5</v>
      </c>
      <c r="J14" s="9"/>
      <c r="K14" s="7">
        <v>1</v>
      </c>
      <c r="L14" s="7">
        <f t="shared" ref="L14" si="86">I14-K14</f>
        <v>4</v>
      </c>
      <c r="M14" s="9"/>
      <c r="N14" s="7">
        <v>1</v>
      </c>
      <c r="O14" s="7">
        <f t="shared" ref="O14" si="87">L14-N14</f>
        <v>3</v>
      </c>
      <c r="P14" s="9"/>
      <c r="Q14" s="7">
        <v>1</v>
      </c>
      <c r="R14" s="7">
        <f t="shared" ref="R14" si="88">O14-Q14</f>
        <v>2</v>
      </c>
      <c r="S14" s="9"/>
      <c r="T14" s="7"/>
      <c r="U14" s="7">
        <f t="shared" ref="U14" si="89">R14-T14</f>
        <v>2</v>
      </c>
      <c r="V14" s="9"/>
      <c r="W14" s="7"/>
      <c r="X14" s="7">
        <f t="shared" ref="X14" si="90">U14-W14</f>
        <v>2</v>
      </c>
      <c r="Y14" s="9"/>
      <c r="Z14" s="7"/>
      <c r="AA14" s="7">
        <f t="shared" ref="AA14" si="91">X14-Z14</f>
        <v>2</v>
      </c>
      <c r="AB14" s="9"/>
      <c r="AC14" s="7">
        <v>1</v>
      </c>
      <c r="AD14" s="7">
        <f t="shared" ref="AD14" si="92">AA14-AC14</f>
        <v>1</v>
      </c>
      <c r="AE14" s="9"/>
      <c r="AF14" s="7">
        <v>1</v>
      </c>
      <c r="AG14" s="7">
        <f t="shared" ref="AG14" si="93">AD14-AF14</f>
        <v>0</v>
      </c>
      <c r="AH14" s="9"/>
      <c r="AI14" s="7"/>
      <c r="AJ14" s="7">
        <f t="shared" ref="AJ14" si="94">AG14-AI14</f>
        <v>0</v>
      </c>
      <c r="AK14" s="9"/>
      <c r="AL14" s="7"/>
      <c r="AM14" s="7">
        <f t="shared" ref="AM14" si="95">AJ14-AL14</f>
        <v>0</v>
      </c>
      <c r="AN14" s="9"/>
      <c r="AO14" s="7"/>
      <c r="AP14" s="7">
        <f t="shared" ref="AP14" si="96">AM14-AO14</f>
        <v>0</v>
      </c>
      <c r="AQ14" s="9"/>
      <c r="AR14" s="7"/>
      <c r="AS14" s="7">
        <f t="shared" ref="AS14" si="97">AP14-AR14</f>
        <v>0</v>
      </c>
      <c r="AT14" s="9"/>
      <c r="AU14" s="7"/>
      <c r="AV14" s="7">
        <f t="shared" ref="AV14" si="98">AS14-AU14</f>
        <v>0</v>
      </c>
      <c r="AW14" s="9"/>
      <c r="AX14" s="7"/>
      <c r="AY14" s="7">
        <f t="shared" ref="AY14" si="99">AV14-AX14</f>
        <v>0</v>
      </c>
      <c r="AZ14" s="9"/>
      <c r="BA14" s="7"/>
      <c r="BB14" s="7">
        <f t="shared" ref="BB14" si="100">AY14-BA14</f>
        <v>0</v>
      </c>
      <c r="BC14" s="9"/>
      <c r="BD14" s="7"/>
      <c r="BE14" s="7">
        <f t="shared" ref="BE14" si="101">BB14-BD14</f>
        <v>0</v>
      </c>
      <c r="BF14" s="9"/>
      <c r="BG14" s="7"/>
      <c r="BH14" s="7">
        <f t="shared" ref="BH14" si="102">BE14-BG14</f>
        <v>0</v>
      </c>
      <c r="BI14" s="9"/>
      <c r="BJ14" s="7"/>
      <c r="BK14" s="7">
        <f t="shared" ref="BK14" si="103">BH14-BJ14</f>
        <v>0</v>
      </c>
      <c r="BL14" s="9"/>
      <c r="BM14" s="7"/>
      <c r="BN14" s="7">
        <f t="shared" ref="BN14" si="104">BK14-BM14</f>
        <v>0</v>
      </c>
      <c r="BO14" s="9"/>
      <c r="BP14" s="10">
        <f t="shared" ref="BP14" si="105">H14+K14+N14+Q14+T14+W14+Z14+AC14+AF14+AI14+AL14+AO14+AR14+AU14+AX14+BA14+BD14+BG14+BJ14+BM14</f>
        <v>6</v>
      </c>
      <c r="BQ14" s="10">
        <f t="shared" ref="BQ14" si="106">G14-BP14</f>
        <v>0</v>
      </c>
    </row>
    <row r="15" spans="2:69" ht="15"/>
    <row r="16" spans="2:69" ht="15"/>
    <row r="18" ht="15"/>
  </sheetData>
  <mergeCells count="22">
    <mergeCell ref="B2:C2"/>
    <mergeCell ref="BG4:BH4"/>
    <mergeCell ref="BJ4:BK4"/>
    <mergeCell ref="BM4:BN4"/>
    <mergeCell ref="BP4:BQ4"/>
    <mergeCell ref="AO4:AP4"/>
    <mergeCell ref="AR4:AS4"/>
    <mergeCell ref="AU4:AV4"/>
    <mergeCell ref="AX4:AY4"/>
    <mergeCell ref="BA4:BB4"/>
    <mergeCell ref="BD4:BE4"/>
    <mergeCell ref="AL4:AM4"/>
    <mergeCell ref="H4:I4"/>
    <mergeCell ref="K4:L4"/>
    <mergeCell ref="N4:O4"/>
    <mergeCell ref="Q4:R4"/>
    <mergeCell ref="AI4:AJ4"/>
    <mergeCell ref="T4:U4"/>
    <mergeCell ref="W4:X4"/>
    <mergeCell ref="Z4:AA4"/>
    <mergeCell ref="AC4:AD4"/>
    <mergeCell ref="AF4:AG4"/>
  </mergeCells>
  <pageMargins left="0.62992125984251968" right="0.62992125984251968" top="0.74803149606299213" bottom="0.74803149606299213" header="0.31496062992125984" footer="0.31496062992125984"/>
  <pageSetup scale="69" orientation="landscape" r:id="rId1"/>
  <colBreaks count="4" manualBreakCount="4">
    <brk id="21" max="18" man="1"/>
    <brk id="36" max="18" man="1"/>
    <brk id="52" max="18" man="1"/>
    <brk id="69" max="1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4"/>
  <sheetViews>
    <sheetView view="pageBreakPreview" topLeftCell="A8" zoomScaleSheetLayoutView="100" workbookViewId="0">
      <selection activeCell="C9" sqref="C9"/>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3" ht="28.9">
      <c r="B1" s="11" t="s">
        <v>57</v>
      </c>
    </row>
    <row r="2" spans="2:3" ht="21">
      <c r="B2" s="3" t="s">
        <v>58</v>
      </c>
    </row>
    <row r="4" spans="2:3">
      <c r="B4" s="1" t="s">
        <v>59</v>
      </c>
      <c r="C4" s="1" t="s">
        <v>60</v>
      </c>
    </row>
    <row r="5" spans="2:3" ht="28.9">
      <c r="B5" s="4" t="str">
        <f>'Sprint Backlog'!B5</f>
        <v>Identificador (ID) de item de product backlog</v>
      </c>
      <c r="C5" s="4" t="s">
        <v>61</v>
      </c>
    </row>
    <row r="6" spans="2:3" ht="57.6">
      <c r="B6" s="4" t="str">
        <f>'Sprint Backlog'!C5</f>
        <v>Enunciado del item de Product Backlog</v>
      </c>
      <c r="C6" s="4" t="s">
        <v>62</v>
      </c>
    </row>
    <row r="7" spans="2:3" ht="57.6">
      <c r="B7" s="4" t="s">
        <v>25</v>
      </c>
      <c r="C7" s="4" t="s">
        <v>63</v>
      </c>
    </row>
    <row r="8" spans="2:3" ht="72">
      <c r="B8" s="4" t="s">
        <v>26</v>
      </c>
      <c r="C8" s="4" t="s">
        <v>64</v>
      </c>
    </row>
    <row r="9" spans="2:3" ht="79.5" customHeight="1">
      <c r="B9" s="4" t="s">
        <v>27</v>
      </c>
      <c r="C9" s="4" t="s">
        <v>65</v>
      </c>
    </row>
    <row r="10" spans="2:3" ht="43.15">
      <c r="B10" s="4" t="s">
        <v>28</v>
      </c>
      <c r="C10" s="4" t="s">
        <v>66</v>
      </c>
    </row>
    <row r="11" spans="2:3" ht="28.9">
      <c r="B11" s="4" t="s">
        <v>67</v>
      </c>
      <c r="C11" s="4" t="s">
        <v>68</v>
      </c>
    </row>
    <row r="12" spans="2:3">
      <c r="B12" s="4" t="s">
        <v>29</v>
      </c>
      <c r="C12" s="4" t="s">
        <v>69</v>
      </c>
    </row>
    <row r="13" spans="2:3" ht="43.15">
      <c r="B13" s="4" t="s">
        <v>30</v>
      </c>
      <c r="C13" s="4" t="s">
        <v>70</v>
      </c>
    </row>
    <row r="14" spans="2:3" ht="28.9">
      <c r="B14" s="4" t="s">
        <v>22</v>
      </c>
      <c r="C14" s="4" t="s">
        <v>71</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DANITSA MILENKA CHANDIA CELIS</cp:lastModifiedBy>
  <cp:revision/>
  <dcterms:created xsi:type="dcterms:W3CDTF">2012-09-02T03:53:17Z</dcterms:created>
  <dcterms:modified xsi:type="dcterms:W3CDTF">2025-11-25T21:10:04Z</dcterms:modified>
  <cp:category/>
  <cp:contentStatus/>
</cp:coreProperties>
</file>