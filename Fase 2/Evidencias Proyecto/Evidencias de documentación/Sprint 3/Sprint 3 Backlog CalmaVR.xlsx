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8"/>
  <workbookPr defaultThemeVersion="124226"/>
  <mc:AlternateContent xmlns:mc="http://schemas.openxmlformats.org/markup-compatibility/2006">
    <mc:Choice Requires="x15">
      <x15ac:absPath xmlns:x15ac="http://schemas.microsoft.com/office/spreadsheetml/2010/11/ac" url="C:\Users\alons\Desktop\"/>
    </mc:Choice>
  </mc:AlternateContent>
  <xr:revisionPtr revIDLastSave="354" documentId="13_ncr:1_{139691B8-52F2-4772-866A-DE608C149D86}" xr6:coauthVersionLast="47" xr6:coauthVersionMax="47" xr10:uidLastSave="{12FB652E-8DCD-4360-8AD4-DD36E393E5AC}"/>
  <bookViews>
    <workbookView xWindow="0" yWindow="0" windowWidth="23040" windowHeight="8940"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Backlog'!$A$1:$BR$10</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11" i="1" l="1"/>
  <c r="I9" i="1"/>
  <c r="I7" i="1"/>
  <c r="L9" i="1"/>
  <c r="O9" i="1"/>
  <c r="R9" i="1" s="1"/>
  <c r="U9" i="1"/>
  <c r="X9" i="1"/>
  <c r="AA9" i="1"/>
  <c r="AD9" i="1"/>
  <c r="AG9" i="1"/>
  <c r="AJ9" i="1"/>
  <c r="AM9" i="1"/>
  <c r="AP9" i="1"/>
  <c r="AS9" i="1"/>
  <c r="AV9" i="1"/>
  <c r="AY9" i="1"/>
  <c r="BB9" i="1"/>
  <c r="BE9" i="1"/>
  <c r="BH9" i="1"/>
  <c r="BK9" i="1"/>
  <c r="BN9" i="1"/>
  <c r="BP9" i="1"/>
  <c r="BQ9" i="1"/>
  <c r="I10" i="1"/>
  <c r="L10" i="1"/>
  <c r="O10" i="1"/>
  <c r="R10" i="1" s="1"/>
  <c r="U10" i="1"/>
  <c r="X10" i="1"/>
  <c r="AA10" i="1"/>
  <c r="AD10" i="1"/>
  <c r="AG10" i="1"/>
  <c r="AJ10" i="1"/>
  <c r="AM10" i="1"/>
  <c r="AP10" i="1"/>
  <c r="AS10" i="1"/>
  <c r="AV10" i="1"/>
  <c r="AY10" i="1"/>
  <c r="BB10" i="1"/>
  <c r="BE10" i="1"/>
  <c r="BH10" i="1"/>
  <c r="BK10" i="1"/>
  <c r="BN10" i="1"/>
  <c r="BP10" i="1"/>
  <c r="BQ10" i="1"/>
  <c r="I11" i="1"/>
  <c r="O11" i="1"/>
  <c r="R11" i="1" s="1"/>
  <c r="U11" i="1"/>
  <c r="X11" i="1"/>
  <c r="AA11" i="1"/>
  <c r="AD11" i="1"/>
  <c r="BB11" i="1"/>
  <c r="BH11" i="1"/>
  <c r="BK11" i="1"/>
  <c r="BN11" i="1"/>
  <c r="BQ11" i="1"/>
  <c r="I12" i="1"/>
  <c r="L12" i="1"/>
  <c r="O12" i="1"/>
  <c r="R12" i="1" s="1"/>
  <c r="U12" i="1"/>
  <c r="X12" i="1"/>
  <c r="AA12" i="1"/>
  <c r="AD12" i="1"/>
  <c r="AG12" i="1"/>
  <c r="AJ12" i="1"/>
  <c r="AM12" i="1"/>
  <c r="AP12" i="1"/>
  <c r="AS12" i="1"/>
  <c r="AV12" i="1"/>
  <c r="AY12" i="1"/>
  <c r="BB12" i="1"/>
  <c r="BE12" i="1"/>
  <c r="BH12" i="1"/>
  <c r="BK12" i="1"/>
  <c r="BN12" i="1"/>
  <c r="BP12" i="1"/>
  <c r="BQ12" i="1"/>
  <c r="I13" i="1"/>
  <c r="L13" i="1"/>
  <c r="O13" i="1"/>
  <c r="R13" i="1" s="1"/>
  <c r="U13" i="1"/>
  <c r="X13" i="1"/>
  <c r="AA13" i="1"/>
  <c r="AD13" i="1"/>
  <c r="AG13" i="1"/>
  <c r="AJ13" i="1"/>
  <c r="AM13" i="1"/>
  <c r="AP13" i="1"/>
  <c r="AS13" i="1"/>
  <c r="AV13" i="1"/>
  <c r="AY13" i="1"/>
  <c r="BB13" i="1"/>
  <c r="BE13" i="1"/>
  <c r="BH13" i="1"/>
  <c r="BK13" i="1"/>
  <c r="BN13" i="1"/>
  <c r="BP13" i="1"/>
  <c r="BQ13" i="1"/>
  <c r="B6" i="2"/>
  <c r="B5" i="2"/>
  <c r="BP8" i="1"/>
  <c r="BQ8" i="1" s="1"/>
  <c r="BP7" i="1"/>
  <c r="BQ7" i="1" s="1"/>
  <c r="BP6" i="1"/>
  <c r="BQ6" i="1" s="1"/>
  <c r="I8" i="1"/>
  <c r="L8" i="1" s="1"/>
  <c r="O8" i="1" s="1"/>
  <c r="L7" i="1"/>
  <c r="O7" i="1" s="1"/>
  <c r="I6" i="1"/>
  <c r="L6" i="1" s="1"/>
  <c r="O6" i="1" s="1"/>
  <c r="R6" i="1" l="1"/>
  <c r="U6" i="1" s="1"/>
  <c r="X6" i="1" s="1"/>
  <c r="AA6" i="1" s="1"/>
  <c r="AD6" i="1" s="1"/>
  <c r="AG6" i="1" s="1"/>
  <c r="AJ6" i="1" s="1"/>
  <c r="AM6" i="1" s="1"/>
  <c r="AP6" i="1" s="1"/>
  <c r="AS6" i="1" s="1"/>
  <c r="AV6" i="1" s="1"/>
  <c r="AY6" i="1" s="1"/>
  <c r="BB6" i="1" s="1"/>
  <c r="BE6" i="1" s="1"/>
  <c r="BH6" i="1" s="1"/>
  <c r="BK6" i="1" s="1"/>
  <c r="BN6" i="1" s="1"/>
  <c r="R7" i="1"/>
  <c r="U7" i="1" s="1"/>
  <c r="X7" i="1" s="1"/>
  <c r="AA7" i="1" s="1"/>
  <c r="AD7" i="1" s="1"/>
  <c r="AG7" i="1" s="1"/>
  <c r="AJ7" i="1" s="1"/>
  <c r="AM7" i="1" s="1"/>
  <c r="AP7" i="1" s="1"/>
  <c r="AS7" i="1" s="1"/>
  <c r="AV7" i="1" s="1"/>
  <c r="AY7" i="1" s="1"/>
  <c r="BB7" i="1" s="1"/>
  <c r="BE7" i="1" s="1"/>
  <c r="BH7" i="1" s="1"/>
  <c r="BK7" i="1" s="1"/>
  <c r="BN7" i="1" s="1"/>
  <c r="R8" i="1"/>
  <c r="U8" i="1" s="1"/>
  <c r="X8" i="1" s="1"/>
  <c r="AA8" i="1" s="1"/>
  <c r="AD8" i="1" s="1"/>
  <c r="AG8" i="1" s="1"/>
  <c r="AJ8" i="1" s="1"/>
  <c r="AM8" i="1" s="1"/>
  <c r="AP8" i="1" s="1"/>
  <c r="AS8" i="1" s="1"/>
  <c r="AV8" i="1" s="1"/>
  <c r="AY8" i="1" s="1"/>
  <c r="BB8" i="1" s="1"/>
  <c r="BE8" i="1" s="1"/>
  <c r="BH8" i="1" s="1"/>
  <c r="BK8" i="1" s="1"/>
  <c r="BN8" i="1" s="1"/>
</calcChain>
</file>

<file path=xl/sharedStrings.xml><?xml version="1.0" encoding="utf-8"?>
<sst xmlns="http://schemas.openxmlformats.org/spreadsheetml/2006/main" count="133" uniqueCount="70">
  <si>
    <t>Metodologías ágiles: Lista de tareas de la iteración</t>
  </si>
  <si>
    <t>(Sprint 3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</si>
  <si>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</si>
  <si>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</si>
  <si>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</si>
  <si>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</si>
  <si>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</si>
  <si>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</si>
  <si>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</si>
  <si>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</si>
  <si>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</si>
  <si>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</si>
  <si>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</si>
  <si>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</si>
  <si>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</si>
  <si>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</si>
  <si>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</si>
  <si>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</si>
  <si>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</si>
  <si>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</si>
  <si>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</si>
  <si>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</si>
  <si>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</si>
  <si>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</si>
  <si>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</si>
  <si>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</si>
  <si>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</si>
  <si>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</si>
  <si>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</si>
  <si>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</si>
  <si>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</si>
  <si>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CALMA-001</t>
  </si>
  <si>
    <t>Como estudiante, necesito una interfaz clara y simple, para no sentirme abrumado durante la crisis.</t>
  </si>
  <si>
    <t>Prueba controlada con estudiantes</t>
  </si>
  <si>
    <t>Equipo</t>
  </si>
  <si>
    <t>Pendiente</t>
  </si>
  <si>
    <t>CALMA-002</t>
  </si>
  <si>
    <t>Optimización del entorno VR</t>
  </si>
  <si>
    <t>Alonso y Danitsa</t>
  </si>
  <si>
    <t>CALMA-003</t>
  </si>
  <si>
    <t>Como estudiante, necesito un ambiente inmersivo con música y luz suave, para reducir mi ansiedad.</t>
  </si>
  <si>
    <t>Ajustes en la interfaz de usuario</t>
  </si>
  <si>
    <t>Alonso</t>
  </si>
  <si>
    <t>CALMA-004</t>
  </si>
  <si>
    <t>Mejora del rendimiento e inmersión</t>
  </si>
  <si>
    <t>CALMA-005</t>
  </si>
  <si>
    <t>Corrección de errores y bugs</t>
  </si>
  <si>
    <t>CALMA-006</t>
  </si>
  <si>
    <t>Validacion y revision Docente</t>
  </si>
  <si>
    <t>Renata</t>
  </si>
  <si>
    <t>CALMA-007</t>
  </si>
  <si>
    <t>Documentación técnica y de usuario</t>
  </si>
  <si>
    <t>Danitsa</t>
  </si>
  <si>
    <t>CALMA-008</t>
  </si>
  <si>
    <t>Recopilación de feedback y entrega final</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</si>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</sst>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0" fillId="0" borderId="1" xfId="0" applyBorder="1" applyAlignment="1">
      <alignment wrapText="1"/>
    </xf>
    <xf numFmtId="0" fontId="2" fillId="3" borderId="0" xfId="0" applyFont="1" applyFill="1" applyAlignment="1">
      <alignment wrapText="1"/>
    </xf>
    <xf numFmtId="0" fontId="0" fillId="3" borderId="3" xfId="0" applyFill="1" applyBorder="1" applyAlignment="1">
      <alignment horizontal="left" vertical="top" wrapText="1"/>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0" fillId="6" borderId="1" xfId="0" applyFill="1" applyBorder="1" applyAlignment="1">
      <alignmen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view="pageBreakPreview" zoomScaleNormal="100" zoomScaleSheetLayoutView="100" workbookViewId="0">
      <pane xSplit="6" ySplit="5" topLeftCell="G6" activePane="bottomRight" state="frozen"/>
      <selection pane="bottomRight" activeCell="N15" sqref="N15"/>
      <selection pane="bottomLeft" activeCell="A5" sqref="A5"/>
      <selection pane="topRight" activeCell="G1" sqref="G1"/>
    </sheetView>
  </sheetViews>
  <sheetFormatPr defaultColWidth="11.42578125" defaultRowHeight="14.45"/>
  <cols>
    <col min="1" max="1" width="1.42578125" style="2" customWidth="1"/>
    <col min="2" max="2" width="16.42578125" style="2" customWidth="1"/>
    <col min="3" max="3" width="34" style="2" bestFit="1" customWidth="1"/>
    <col min="4" max="4" width="20.85546875" style="2" bestFit="1" customWidth="1"/>
    <col min="5" max="5" width="10.42578125" style="2" bestFit="1" customWidth="1"/>
    <col min="6" max="6" width="11.85546875" style="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5">
      <c r="B1" s="11" t="s">
        <v>0</v>
      </c>
    </row>
    <row r="2" spans="2:69" ht="30" customHeight="1">
      <c r="B2" s="20" t="s">
        <v>1</v>
      </c>
      <c r="C2" s="20"/>
    </row>
    <row r="3" spans="2:69" ht="21">
      <c r="B3" s="13"/>
    </row>
    <row r="4" spans="2:69">
      <c r="H4" s="18" t="s">
        <v>2</v>
      </c>
      <c r="I4" s="19"/>
      <c r="J4" s="8"/>
      <c r="K4" s="18" t="s">
        <v>3</v>
      </c>
      <c r="L4" s="19"/>
      <c r="M4" s="8"/>
      <c r="N4" s="18" t="s">
        <v>4</v>
      </c>
      <c r="O4" s="19"/>
      <c r="P4" s="8"/>
      <c r="Q4" s="18" t="s">
        <v>5</v>
      </c>
      <c r="R4" s="19"/>
      <c r="S4" s="8"/>
      <c r="T4" s="18" t="s">
        <v>6</v>
      </c>
      <c r="U4" s="19"/>
      <c r="V4" s="8"/>
      <c r="W4" s="18" t="s">
        <v>7</v>
      </c>
      <c r="X4" s="19"/>
      <c r="Y4" s="8"/>
      <c r="Z4" s="18" t="s">
        <v>8</v>
      </c>
      <c r="AA4" s="19"/>
      <c r="AB4" s="8"/>
      <c r="AC4" s="18" t="s">
        <v>9</v>
      </c>
      <c r="AD4" s="19"/>
      <c r="AE4" s="8"/>
      <c r="AF4" s="18" t="s">
        <v>10</v>
      </c>
      <c r="AG4" s="19"/>
      <c r="AH4" s="8"/>
      <c r="AI4" s="18" t="s">
        <v>11</v>
      </c>
      <c r="AJ4" s="19"/>
      <c r="AK4" s="8"/>
      <c r="AL4" s="18" t="s">
        <v>12</v>
      </c>
      <c r="AM4" s="19"/>
      <c r="AN4" s="8"/>
      <c r="AO4" s="18" t="s">
        <v>13</v>
      </c>
      <c r="AP4" s="19"/>
      <c r="AQ4" s="8"/>
      <c r="AR4" s="18" t="s">
        <v>14</v>
      </c>
      <c r="AS4" s="19"/>
      <c r="AT4" s="8"/>
      <c r="AU4" s="18" t="s">
        <v>15</v>
      </c>
      <c r="AV4" s="19"/>
      <c r="AW4" s="8"/>
      <c r="AX4" s="18" t="s">
        <v>16</v>
      </c>
      <c r="AY4" s="19"/>
      <c r="AZ4" s="8"/>
      <c r="BA4" s="18" t="s">
        <v>17</v>
      </c>
      <c r="BB4" s="19"/>
      <c r="BC4" s="8"/>
      <c r="BD4" s="18" t="s">
        <v>18</v>
      </c>
      <c r="BE4" s="19"/>
      <c r="BF4" s="8"/>
      <c r="BG4" s="18" t="s">
        <v>19</v>
      </c>
      <c r="BH4" s="19"/>
      <c r="BI4" s="8"/>
      <c r="BJ4" s="18" t="s">
        <v>20</v>
      </c>
      <c r="BK4" s="19"/>
      <c r="BL4" s="8"/>
      <c r="BM4" s="18" t="s">
        <v>21</v>
      </c>
      <c r="BN4" s="19"/>
      <c r="BO4" s="8"/>
      <c r="BP4" s="18" t="s">
        <v>22</v>
      </c>
      <c r="BQ4" s="19"/>
    </row>
    <row r="5" spans="2:69" ht="43.15">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2:69" ht="45.75">
      <c r="B6" s="4" t="s">
        <v>31</v>
      </c>
      <c r="C6" s="14" t="s">
        <v>32</v>
      </c>
      <c r="D6" s="17" t="s">
        <v>33</v>
      </c>
      <c r="E6" s="15" t="s">
        <v>34</v>
      </c>
      <c r="F6" s="4" t="s">
        <v>35</v>
      </c>
      <c r="G6" s="16">
        <v>6</v>
      </c>
      <c r="H6" s="7">
        <v>2</v>
      </c>
      <c r="I6" s="7">
        <f t="shared" ref="I6:I8" si="0">G6-H6</f>
        <v>4</v>
      </c>
      <c r="J6" s="9"/>
      <c r="K6" s="7"/>
      <c r="L6" s="7">
        <f t="shared" ref="L6:L8" si="1">I6-K6</f>
        <v>4</v>
      </c>
      <c r="M6" s="9"/>
      <c r="N6" s="7">
        <v>2</v>
      </c>
      <c r="O6" s="7">
        <f t="shared" ref="O6:O8" si="2">L6-N6</f>
        <v>2</v>
      </c>
      <c r="P6" s="9"/>
      <c r="Q6" s="7">
        <v>1</v>
      </c>
      <c r="R6" s="7">
        <f t="shared" ref="R6:R8" si="3">O6-Q6</f>
        <v>1</v>
      </c>
      <c r="S6" s="9"/>
      <c r="T6" s="7">
        <v>1</v>
      </c>
      <c r="U6" s="7">
        <f t="shared" ref="U6:U8" si="4">R6-T6</f>
        <v>0</v>
      </c>
      <c r="V6" s="9"/>
      <c r="W6" s="7"/>
      <c r="X6" s="7">
        <f t="shared" ref="X6:X8" si="5">U6-W6</f>
        <v>0</v>
      </c>
      <c r="Y6" s="9"/>
      <c r="Z6" s="7"/>
      <c r="AA6" s="7">
        <f t="shared" ref="AA6:AA8" si="6">X6-Z6</f>
        <v>0</v>
      </c>
      <c r="AB6" s="9"/>
      <c r="AC6" s="7"/>
      <c r="AD6" s="7">
        <f t="shared" ref="AD6:AD8" si="7">AA6-AC6</f>
        <v>0</v>
      </c>
      <c r="AE6" s="9"/>
      <c r="AF6" s="7"/>
      <c r="AG6" s="7">
        <f t="shared" ref="AG6:AG8" si="8">AD6-AF6</f>
        <v>0</v>
      </c>
      <c r="AH6" s="9"/>
      <c r="AI6" s="7"/>
      <c r="AJ6" s="7">
        <f t="shared" ref="AJ6:AJ8" si="9">AG6-AI6</f>
        <v>0</v>
      </c>
      <c r="AK6" s="9"/>
      <c r="AL6" s="7"/>
      <c r="AM6" s="7">
        <f t="shared" ref="AM6:AM8" si="10">AJ6-AL6</f>
        <v>0</v>
      </c>
      <c r="AN6" s="9"/>
      <c r="AO6" s="7"/>
      <c r="AP6" s="7">
        <f t="shared" ref="AP6:AP8" si="11">AM6-AO6</f>
        <v>0</v>
      </c>
      <c r="AQ6" s="9"/>
      <c r="AR6" s="7"/>
      <c r="AS6" s="7">
        <f t="shared" ref="AS6:AS8" si="12">AP6-AR6</f>
        <v>0</v>
      </c>
      <c r="AT6" s="9"/>
      <c r="AU6" s="7"/>
      <c r="AV6" s="7">
        <f t="shared" ref="AV6:AV8" si="13">AS6-AU6</f>
        <v>0</v>
      </c>
      <c r="AW6" s="9"/>
      <c r="AX6" s="7"/>
      <c r="AY6" s="7">
        <f t="shared" ref="AY6:AY8" si="14">AV6-AX6</f>
        <v>0</v>
      </c>
      <c r="AZ6" s="9"/>
      <c r="BA6" s="7"/>
      <c r="BB6" s="7">
        <f t="shared" ref="BB6:BB8" si="15">AY6-BA6</f>
        <v>0</v>
      </c>
      <c r="BC6" s="9"/>
      <c r="BD6" s="7"/>
      <c r="BE6" s="7">
        <f t="shared" ref="BE6:BE8" si="16">BB6-BD6</f>
        <v>0</v>
      </c>
      <c r="BF6" s="9"/>
      <c r="BG6" s="7"/>
      <c r="BH6" s="7">
        <f t="shared" ref="BH6:BH8" si="17">BE6-BG6</f>
        <v>0</v>
      </c>
      <c r="BI6" s="9"/>
      <c r="BJ6" s="7"/>
      <c r="BK6" s="7">
        <f t="shared" ref="BK6:BK8" si="18">BH6-BJ6</f>
        <v>0</v>
      </c>
      <c r="BL6" s="9"/>
      <c r="BM6" s="7"/>
      <c r="BN6" s="7">
        <f t="shared" ref="BN6:BN8" si="19">BK6-BM6</f>
        <v>0</v>
      </c>
      <c r="BO6" s="9"/>
      <c r="BP6" s="10">
        <f t="shared" ref="BP6:BP8" si="20">H6+K6+N6+Q6+T6+W6+Z6+AC6+AF6+AI6+AL6+AO6+AR6+AU6+AX6+BA6+BD6+BG6+BJ6+BM6</f>
        <v>6</v>
      </c>
      <c r="BQ6" s="10">
        <f t="shared" ref="BQ6:BQ8" si="21">G6-BP6</f>
        <v>0</v>
      </c>
    </row>
    <row r="7" spans="2:69" ht="45.75">
      <c r="B7" s="4" t="s">
        <v>36</v>
      </c>
      <c r="C7" s="14" t="s">
        <v>32</v>
      </c>
      <c r="D7" s="17" t="s">
        <v>37</v>
      </c>
      <c r="E7" s="15" t="s">
        <v>38</v>
      </c>
      <c r="F7" s="4" t="s">
        <v>35</v>
      </c>
      <c r="G7" s="16">
        <v>10</v>
      </c>
      <c r="H7" s="7">
        <v>1.5</v>
      </c>
      <c r="I7" s="7">
        <f t="shared" si="0"/>
        <v>8.5</v>
      </c>
      <c r="J7" s="9"/>
      <c r="K7" s="7">
        <v>1</v>
      </c>
      <c r="L7" s="7">
        <f t="shared" si="1"/>
        <v>7.5</v>
      </c>
      <c r="M7" s="9"/>
      <c r="N7" s="7"/>
      <c r="O7" s="7">
        <f t="shared" si="2"/>
        <v>7.5</v>
      </c>
      <c r="P7" s="9"/>
      <c r="Q7" s="7">
        <v>1</v>
      </c>
      <c r="R7" s="7">
        <f t="shared" si="3"/>
        <v>6.5</v>
      </c>
      <c r="S7" s="9"/>
      <c r="T7" s="7">
        <v>1</v>
      </c>
      <c r="U7" s="7">
        <f t="shared" si="4"/>
        <v>5.5</v>
      </c>
      <c r="V7" s="9"/>
      <c r="W7" s="7"/>
      <c r="X7" s="7">
        <f t="shared" si="5"/>
        <v>5.5</v>
      </c>
      <c r="Y7" s="9"/>
      <c r="Z7" s="7"/>
      <c r="AA7" s="7">
        <f t="shared" si="6"/>
        <v>5.5</v>
      </c>
      <c r="AB7" s="9"/>
      <c r="AC7" s="7">
        <v>2</v>
      </c>
      <c r="AD7" s="7">
        <f t="shared" si="7"/>
        <v>3.5</v>
      </c>
      <c r="AE7" s="9"/>
      <c r="AF7" s="7">
        <v>2</v>
      </c>
      <c r="AG7" s="7">
        <f t="shared" si="8"/>
        <v>1.5</v>
      </c>
      <c r="AH7" s="9"/>
      <c r="AI7" s="7">
        <v>1.5</v>
      </c>
      <c r="AJ7" s="7">
        <f t="shared" si="9"/>
        <v>0</v>
      </c>
      <c r="AK7" s="9"/>
      <c r="AL7" s="7"/>
      <c r="AM7" s="7">
        <f t="shared" si="10"/>
        <v>0</v>
      </c>
      <c r="AN7" s="9"/>
      <c r="AO7" s="7"/>
      <c r="AP7" s="7">
        <f t="shared" si="11"/>
        <v>0</v>
      </c>
      <c r="AQ7" s="9"/>
      <c r="AR7" s="7"/>
      <c r="AS7" s="7">
        <f t="shared" si="12"/>
        <v>0</v>
      </c>
      <c r="AT7" s="9"/>
      <c r="AU7" s="7"/>
      <c r="AV7" s="7">
        <f t="shared" si="13"/>
        <v>0</v>
      </c>
      <c r="AW7" s="9"/>
      <c r="AX7" s="7"/>
      <c r="AY7" s="7">
        <f t="shared" si="14"/>
        <v>0</v>
      </c>
      <c r="AZ7" s="9"/>
      <c r="BA7" s="7"/>
      <c r="BB7" s="7">
        <f t="shared" si="15"/>
        <v>0</v>
      </c>
      <c r="BC7" s="9"/>
      <c r="BD7" s="7"/>
      <c r="BE7" s="7">
        <f t="shared" si="16"/>
        <v>0</v>
      </c>
      <c r="BF7" s="9"/>
      <c r="BG7" s="7"/>
      <c r="BH7" s="7">
        <f t="shared" si="17"/>
        <v>0</v>
      </c>
      <c r="BI7" s="9"/>
      <c r="BJ7" s="7"/>
      <c r="BK7" s="7">
        <f t="shared" si="18"/>
        <v>0</v>
      </c>
      <c r="BL7" s="9"/>
      <c r="BM7" s="7"/>
      <c r="BN7" s="7">
        <f t="shared" si="19"/>
        <v>0</v>
      </c>
      <c r="BO7" s="9"/>
      <c r="BP7" s="10">
        <f t="shared" si="20"/>
        <v>10</v>
      </c>
      <c r="BQ7" s="10">
        <f t="shared" si="21"/>
        <v>0</v>
      </c>
    </row>
    <row r="8" spans="2:69" ht="45.75">
      <c r="B8" s="4" t="s">
        <v>39</v>
      </c>
      <c r="C8" s="12" t="s">
        <v>40</v>
      </c>
      <c r="D8" s="17" t="s">
        <v>41</v>
      </c>
      <c r="E8" s="16" t="s">
        <v>42</v>
      </c>
      <c r="F8" s="4" t="s">
        <v>35</v>
      </c>
      <c r="G8" s="16">
        <v>8</v>
      </c>
      <c r="H8" s="7">
        <v>2</v>
      </c>
      <c r="I8" s="7">
        <f t="shared" si="0"/>
        <v>6</v>
      </c>
      <c r="J8" s="9"/>
      <c r="K8" s="7"/>
      <c r="L8" s="7">
        <f t="shared" si="1"/>
        <v>6</v>
      </c>
      <c r="M8" s="9"/>
      <c r="N8" s="7">
        <v>2</v>
      </c>
      <c r="O8" s="7">
        <f t="shared" si="2"/>
        <v>4</v>
      </c>
      <c r="P8" s="9"/>
      <c r="Q8" s="7"/>
      <c r="R8" s="7">
        <f t="shared" si="3"/>
        <v>4</v>
      </c>
      <c r="S8" s="9"/>
      <c r="T8" s="7"/>
      <c r="U8" s="7">
        <f t="shared" si="4"/>
        <v>4</v>
      </c>
      <c r="V8" s="9"/>
      <c r="W8" s="7">
        <v>2</v>
      </c>
      <c r="X8" s="7">
        <f t="shared" si="5"/>
        <v>2</v>
      </c>
      <c r="Y8" s="9"/>
      <c r="Z8" s="7">
        <v>2</v>
      </c>
      <c r="AA8" s="7">
        <f t="shared" si="6"/>
        <v>0</v>
      </c>
      <c r="AB8" s="9"/>
      <c r="AC8" s="7"/>
      <c r="AD8" s="7">
        <f t="shared" si="7"/>
        <v>0</v>
      </c>
      <c r="AE8" s="9"/>
      <c r="AF8" s="7"/>
      <c r="AG8" s="7">
        <f t="shared" si="8"/>
        <v>0</v>
      </c>
      <c r="AH8" s="9"/>
      <c r="AI8" s="7"/>
      <c r="AJ8" s="7">
        <f t="shared" si="9"/>
        <v>0</v>
      </c>
      <c r="AK8" s="9"/>
      <c r="AL8" s="7"/>
      <c r="AM8" s="7">
        <f t="shared" si="10"/>
        <v>0</v>
      </c>
      <c r="AN8" s="9"/>
      <c r="AO8" s="7"/>
      <c r="AP8" s="7">
        <f t="shared" si="11"/>
        <v>0</v>
      </c>
      <c r="AQ8" s="9"/>
      <c r="AR8" s="7"/>
      <c r="AS8" s="7">
        <f t="shared" si="12"/>
        <v>0</v>
      </c>
      <c r="AT8" s="9"/>
      <c r="AU8" s="7"/>
      <c r="AV8" s="7">
        <f t="shared" si="13"/>
        <v>0</v>
      </c>
      <c r="AW8" s="9"/>
      <c r="AX8" s="7"/>
      <c r="AY8" s="7">
        <f t="shared" si="14"/>
        <v>0</v>
      </c>
      <c r="AZ8" s="9"/>
      <c r="BA8" s="7"/>
      <c r="BB8" s="7">
        <f t="shared" si="15"/>
        <v>0</v>
      </c>
      <c r="BC8" s="9"/>
      <c r="BD8" s="7"/>
      <c r="BE8" s="7">
        <f t="shared" si="16"/>
        <v>0</v>
      </c>
      <c r="BF8" s="9"/>
      <c r="BG8" s="7"/>
      <c r="BH8" s="7">
        <f t="shared" si="17"/>
        <v>0</v>
      </c>
      <c r="BI8" s="9"/>
      <c r="BJ8" s="7"/>
      <c r="BK8" s="7">
        <f t="shared" si="18"/>
        <v>0</v>
      </c>
      <c r="BL8" s="9"/>
      <c r="BM8" s="7"/>
      <c r="BN8" s="7">
        <f t="shared" si="19"/>
        <v>0</v>
      </c>
      <c r="BO8" s="9"/>
      <c r="BP8" s="10">
        <f t="shared" si="20"/>
        <v>8</v>
      </c>
      <c r="BQ8" s="10">
        <f t="shared" si="21"/>
        <v>0</v>
      </c>
    </row>
    <row r="9" spans="2:69" ht="45.75">
      <c r="B9" s="4" t="s">
        <v>43</v>
      </c>
      <c r="C9" s="12" t="s">
        <v>40</v>
      </c>
      <c r="D9" s="17" t="s">
        <v>44</v>
      </c>
      <c r="E9" s="16" t="s">
        <v>42</v>
      </c>
      <c r="F9" s="4" t="s">
        <v>35</v>
      </c>
      <c r="G9" s="16">
        <v>8</v>
      </c>
      <c r="H9" s="7">
        <v>2</v>
      </c>
      <c r="I9" s="7">
        <f t="shared" ref="I9:I13" si="22">G9-H9</f>
        <v>6</v>
      </c>
      <c r="J9" s="9"/>
      <c r="K9" s="7">
        <v>2</v>
      </c>
      <c r="L9" s="7">
        <f t="shared" ref="L9:L13" si="23">I9-K9</f>
        <v>4</v>
      </c>
      <c r="M9" s="9"/>
      <c r="N9" s="7"/>
      <c r="O9" s="7">
        <f t="shared" ref="O9:O13" si="24">L9-N9</f>
        <v>4</v>
      </c>
      <c r="P9" s="9"/>
      <c r="Q9" s="7">
        <v>2</v>
      </c>
      <c r="R9" s="7">
        <f t="shared" ref="R9:R13" si="25">O9-Q9</f>
        <v>2</v>
      </c>
      <c r="S9" s="9"/>
      <c r="T9" s="7">
        <v>2</v>
      </c>
      <c r="U9" s="7">
        <f t="shared" ref="U9:U13" si="26">R9-T9</f>
        <v>0</v>
      </c>
      <c r="V9" s="9"/>
      <c r="W9" s="7"/>
      <c r="X9" s="7">
        <f t="shared" ref="X9:X13" si="27">U9-W9</f>
        <v>0</v>
      </c>
      <c r="Y9" s="9"/>
      <c r="Z9" s="7"/>
      <c r="AA9" s="7">
        <f t="shared" ref="AA9:AA13" si="28">X9-Z9</f>
        <v>0</v>
      </c>
      <c r="AB9" s="9"/>
      <c r="AC9" s="7"/>
      <c r="AD9" s="7">
        <f t="shared" ref="AD9:AD13" si="29">AA9-AC9</f>
        <v>0</v>
      </c>
      <c r="AE9" s="9"/>
      <c r="AF9" s="7"/>
      <c r="AG9" s="7">
        <f t="shared" ref="AG9:AG13" si="30">AD9-AF9</f>
        <v>0</v>
      </c>
      <c r="AH9" s="9"/>
      <c r="AI9" s="7"/>
      <c r="AJ9" s="7">
        <f t="shared" ref="AJ9:AJ13" si="31">AG9-AI9</f>
        <v>0</v>
      </c>
      <c r="AK9" s="9"/>
      <c r="AL9" s="7"/>
      <c r="AM9" s="7">
        <f t="shared" ref="AM9:AM13" si="32">AJ9-AL9</f>
        <v>0</v>
      </c>
      <c r="AN9" s="9"/>
      <c r="AO9" s="7"/>
      <c r="AP9" s="7">
        <f t="shared" ref="AP9:AP13" si="33">AM9-AO9</f>
        <v>0</v>
      </c>
      <c r="AQ9" s="9"/>
      <c r="AR9" s="7"/>
      <c r="AS9" s="7">
        <f t="shared" ref="AS9:AS13" si="34">AP9-AR9</f>
        <v>0</v>
      </c>
      <c r="AT9" s="9"/>
      <c r="AU9" s="7"/>
      <c r="AV9" s="7">
        <f t="shared" ref="AV9:AV13" si="35">AS9-AU9</f>
        <v>0</v>
      </c>
      <c r="AW9" s="9"/>
      <c r="AX9" s="7"/>
      <c r="AY9" s="7">
        <f t="shared" ref="AY9:AY13" si="36">AV9-AX9</f>
        <v>0</v>
      </c>
      <c r="AZ9" s="9"/>
      <c r="BA9" s="7"/>
      <c r="BB9" s="7">
        <f t="shared" ref="BB9:BB13" si="37">AY9-BA9</f>
        <v>0</v>
      </c>
      <c r="BC9" s="9"/>
      <c r="BD9" s="7"/>
      <c r="BE9" s="7">
        <f t="shared" ref="BE9:BE13" si="38">BB9-BD9</f>
        <v>0</v>
      </c>
      <c r="BF9" s="9"/>
      <c r="BG9" s="7"/>
      <c r="BH9" s="7">
        <f t="shared" ref="BH9:BH13" si="39">BE9-BG9</f>
        <v>0</v>
      </c>
      <c r="BI9" s="9"/>
      <c r="BJ9" s="7"/>
      <c r="BK9" s="7">
        <f t="shared" ref="BK9:BK13" si="40">BH9-BJ9</f>
        <v>0</v>
      </c>
      <c r="BL9" s="9"/>
      <c r="BM9" s="7"/>
      <c r="BN9" s="7">
        <f t="shared" ref="BN9:BN13" si="41">BK9-BM9</f>
        <v>0</v>
      </c>
      <c r="BO9" s="9"/>
      <c r="BP9" s="10">
        <f t="shared" ref="BP9:BP13" si="42">H9+K9+N9+Q9+T9+W9+Z9+AC9+AF9+AI9+AL9+AO9+AR9+AU9+AX9+BA9+BD9+BG9+BJ9+BM9</f>
        <v>8</v>
      </c>
      <c r="BQ9" s="10">
        <f t="shared" ref="BQ9:BQ13" si="43">G9-BP9</f>
        <v>0</v>
      </c>
    </row>
    <row r="10" spans="2:69" ht="45.75">
      <c r="B10" s="4" t="s">
        <v>45</v>
      </c>
      <c r="C10" s="12" t="s">
        <v>40</v>
      </c>
      <c r="D10" s="17" t="s">
        <v>46</v>
      </c>
      <c r="E10" s="16" t="s">
        <v>42</v>
      </c>
      <c r="F10" s="4" t="s">
        <v>35</v>
      </c>
      <c r="G10" s="16">
        <v>14</v>
      </c>
      <c r="H10" s="7"/>
      <c r="I10" s="7">
        <f t="shared" si="22"/>
        <v>14</v>
      </c>
      <c r="J10" s="9"/>
      <c r="K10" s="7">
        <v>4</v>
      </c>
      <c r="L10" s="7">
        <f t="shared" si="23"/>
        <v>10</v>
      </c>
      <c r="M10" s="9"/>
      <c r="N10" s="7">
        <v>2</v>
      </c>
      <c r="O10" s="7">
        <f t="shared" si="24"/>
        <v>8</v>
      </c>
      <c r="P10" s="9"/>
      <c r="Q10" s="7"/>
      <c r="R10" s="7">
        <f t="shared" si="25"/>
        <v>8</v>
      </c>
      <c r="S10" s="9"/>
      <c r="T10" s="7"/>
      <c r="U10" s="7">
        <f t="shared" si="26"/>
        <v>8</v>
      </c>
      <c r="V10" s="9"/>
      <c r="W10" s="7">
        <v>2</v>
      </c>
      <c r="X10" s="7">
        <f t="shared" si="27"/>
        <v>6</v>
      </c>
      <c r="Y10" s="9"/>
      <c r="Z10" s="7">
        <v>3</v>
      </c>
      <c r="AA10" s="7">
        <f t="shared" si="28"/>
        <v>3</v>
      </c>
      <c r="AB10" s="9"/>
      <c r="AC10" s="7"/>
      <c r="AD10" s="7">
        <f t="shared" si="29"/>
        <v>3</v>
      </c>
      <c r="AE10" s="9"/>
      <c r="AF10" s="7">
        <v>3</v>
      </c>
      <c r="AG10" s="7">
        <f>AD10-AF10</f>
        <v>0</v>
      </c>
      <c r="AH10" s="9"/>
      <c r="AI10" s="7"/>
      <c r="AJ10" s="7">
        <f>AG10-AI10</f>
        <v>0</v>
      </c>
      <c r="AK10" s="9"/>
      <c r="AL10" s="7"/>
      <c r="AM10" s="7">
        <f t="shared" si="32"/>
        <v>0</v>
      </c>
      <c r="AN10" s="9"/>
      <c r="AO10" s="7"/>
      <c r="AP10" s="7">
        <f t="shared" si="33"/>
        <v>0</v>
      </c>
      <c r="AQ10" s="9"/>
      <c r="AR10" s="7"/>
      <c r="AS10" s="7">
        <f t="shared" si="34"/>
        <v>0</v>
      </c>
      <c r="AT10" s="9"/>
      <c r="AU10" s="7"/>
      <c r="AV10" s="7">
        <f t="shared" si="35"/>
        <v>0</v>
      </c>
      <c r="AW10" s="9"/>
      <c r="AX10" s="7"/>
      <c r="AY10" s="7">
        <f t="shared" si="36"/>
        <v>0</v>
      </c>
      <c r="AZ10" s="9"/>
      <c r="BA10" s="7"/>
      <c r="BB10" s="7">
        <f t="shared" si="37"/>
        <v>0</v>
      </c>
      <c r="BC10" s="9"/>
      <c r="BD10" s="7"/>
      <c r="BE10" s="7">
        <f t="shared" si="38"/>
        <v>0</v>
      </c>
      <c r="BF10" s="9"/>
      <c r="BG10" s="7"/>
      <c r="BH10" s="7">
        <f t="shared" si="39"/>
        <v>0</v>
      </c>
      <c r="BI10" s="9"/>
      <c r="BJ10" s="7"/>
      <c r="BK10" s="7">
        <f t="shared" si="40"/>
        <v>0</v>
      </c>
      <c r="BL10" s="9"/>
      <c r="BM10" s="7"/>
      <c r="BN10" s="7">
        <f t="shared" si="41"/>
        <v>0</v>
      </c>
      <c r="BO10" s="9"/>
      <c r="BP10" s="10">
        <f>H10+K10+N10+Q10+T10+W10+Z10+AC10+AF10+AI10+AL10+AO10+AR10+AU10+AX10+BA10+BD10+BG10+BJ10+BM10</f>
        <v>14</v>
      </c>
      <c r="BQ10" s="10">
        <f t="shared" si="43"/>
        <v>0</v>
      </c>
    </row>
    <row r="11" spans="2:69" ht="45.75">
      <c r="B11" s="4" t="s">
        <v>47</v>
      </c>
      <c r="C11" s="12" t="s">
        <v>40</v>
      </c>
      <c r="D11" s="17" t="s">
        <v>48</v>
      </c>
      <c r="E11" s="16" t="s">
        <v>49</v>
      </c>
      <c r="F11" s="4" t="s">
        <v>35</v>
      </c>
      <c r="G11" s="16">
        <v>2</v>
      </c>
      <c r="H11" s="7">
        <v>0</v>
      </c>
      <c r="I11" s="7">
        <f t="shared" si="22"/>
        <v>2</v>
      </c>
      <c r="J11" s="9"/>
      <c r="K11" s="7">
        <v>2</v>
      </c>
      <c r="L11" s="7">
        <v>5</v>
      </c>
      <c r="M11" s="9"/>
      <c r="N11" s="7">
        <v>3</v>
      </c>
      <c r="O11" s="7">
        <f t="shared" si="24"/>
        <v>2</v>
      </c>
      <c r="P11" s="9"/>
      <c r="Q11" s="7">
        <v>0</v>
      </c>
      <c r="R11" s="7">
        <f t="shared" si="25"/>
        <v>2</v>
      </c>
      <c r="S11" s="9"/>
      <c r="T11" s="7">
        <v>0</v>
      </c>
      <c r="U11" s="7">
        <f t="shared" si="26"/>
        <v>2</v>
      </c>
      <c r="V11" s="9"/>
      <c r="W11" s="7">
        <v>1</v>
      </c>
      <c r="X11" s="7">
        <f t="shared" si="27"/>
        <v>1</v>
      </c>
      <c r="Y11" s="9"/>
      <c r="Z11" s="7">
        <v>0</v>
      </c>
      <c r="AA11" s="7">
        <f t="shared" si="28"/>
        <v>1</v>
      </c>
      <c r="AB11" s="9"/>
      <c r="AC11" s="7">
        <v>1</v>
      </c>
      <c r="AD11" s="7">
        <f t="shared" si="29"/>
        <v>0</v>
      </c>
      <c r="AE11" s="9"/>
      <c r="AF11" s="7">
        <v>1</v>
      </c>
      <c r="AG11" s="7">
        <v>2</v>
      </c>
      <c r="AH11" s="9"/>
      <c r="AI11" s="7">
        <v>1</v>
      </c>
      <c r="AJ11" s="7">
        <v>1</v>
      </c>
      <c r="AK11" s="9"/>
      <c r="AL11" s="7">
        <v>1</v>
      </c>
      <c r="AM11" s="7">
        <v>1</v>
      </c>
      <c r="AN11" s="9"/>
      <c r="AO11" s="7">
        <v>1</v>
      </c>
      <c r="AP11" s="7">
        <v>3</v>
      </c>
      <c r="AQ11" s="9"/>
      <c r="AR11" s="7">
        <v>0</v>
      </c>
      <c r="AS11" s="7">
        <v>3</v>
      </c>
      <c r="AT11" s="9"/>
      <c r="AU11" s="7"/>
      <c r="AV11" s="7">
        <v>1</v>
      </c>
      <c r="AW11" s="9"/>
      <c r="AX11" s="7">
        <v>0</v>
      </c>
      <c r="AY11" s="7">
        <v>2</v>
      </c>
      <c r="AZ11" s="9"/>
      <c r="BA11" s="7">
        <v>0</v>
      </c>
      <c r="BB11" s="7">
        <f t="shared" si="37"/>
        <v>2</v>
      </c>
      <c r="BC11" s="9"/>
      <c r="BD11" s="7">
        <v>0</v>
      </c>
      <c r="BE11" s="7">
        <v>5</v>
      </c>
      <c r="BF11" s="9"/>
      <c r="BG11" s="7">
        <v>1</v>
      </c>
      <c r="BH11" s="7">
        <f t="shared" si="39"/>
        <v>4</v>
      </c>
      <c r="BI11" s="9"/>
      <c r="BJ11" s="7">
        <v>0</v>
      </c>
      <c r="BK11" s="7">
        <f t="shared" si="40"/>
        <v>4</v>
      </c>
      <c r="BL11" s="9"/>
      <c r="BM11" s="7">
        <v>0</v>
      </c>
      <c r="BN11" s="7">
        <f t="shared" si="41"/>
        <v>4</v>
      </c>
      <c r="BO11" s="9"/>
      <c r="BP11" s="10">
        <f>H11+K11+N11+Q11+T11+W11+Z11+AC11+AF11+AI11+AL11+AO11+AR11+AU11+AX11+BA11+BD11+BG11+BJ11+BM11</f>
        <v>12</v>
      </c>
      <c r="BQ11" s="10">
        <f t="shared" si="43"/>
        <v>-10</v>
      </c>
    </row>
    <row r="12" spans="2:69" ht="45.75">
      <c r="B12" s="4" t="s">
        <v>50</v>
      </c>
      <c r="C12" s="12" t="s">
        <v>40</v>
      </c>
      <c r="D12" s="17" t="s">
        <v>51</v>
      </c>
      <c r="E12" s="16" t="s">
        <v>52</v>
      </c>
      <c r="F12" s="4" t="s">
        <v>35</v>
      </c>
      <c r="G12" s="16">
        <v>4</v>
      </c>
      <c r="H12" s="7">
        <v>2</v>
      </c>
      <c r="I12" s="7">
        <f t="shared" si="22"/>
        <v>2</v>
      </c>
      <c r="J12" s="9"/>
      <c r="K12" s="7">
        <v>2</v>
      </c>
      <c r="L12" s="7">
        <f t="shared" si="23"/>
        <v>0</v>
      </c>
      <c r="M12" s="9"/>
      <c r="N12" s="7"/>
      <c r="O12" s="7">
        <f t="shared" si="24"/>
        <v>0</v>
      </c>
      <c r="P12" s="9"/>
      <c r="Q12" s="7"/>
      <c r="R12" s="7">
        <f t="shared" si="25"/>
        <v>0</v>
      </c>
      <c r="S12" s="9"/>
      <c r="T12" s="7"/>
      <c r="U12" s="7">
        <f t="shared" si="26"/>
        <v>0</v>
      </c>
      <c r="V12" s="9"/>
      <c r="W12" s="7"/>
      <c r="X12" s="7">
        <f t="shared" si="27"/>
        <v>0</v>
      </c>
      <c r="Y12" s="9"/>
      <c r="Z12" s="7"/>
      <c r="AA12" s="7">
        <f t="shared" si="28"/>
        <v>0</v>
      </c>
      <c r="AB12" s="9"/>
      <c r="AC12" s="7"/>
      <c r="AD12" s="7">
        <f t="shared" si="29"/>
        <v>0</v>
      </c>
      <c r="AE12" s="9"/>
      <c r="AF12" s="7"/>
      <c r="AG12" s="7">
        <f t="shared" si="30"/>
        <v>0</v>
      </c>
      <c r="AH12" s="9"/>
      <c r="AI12" s="7"/>
      <c r="AJ12" s="7">
        <f t="shared" si="31"/>
        <v>0</v>
      </c>
      <c r="AK12" s="9"/>
      <c r="AL12" s="7"/>
      <c r="AM12" s="7">
        <f t="shared" si="32"/>
        <v>0</v>
      </c>
      <c r="AN12" s="9"/>
      <c r="AO12" s="7"/>
      <c r="AP12" s="7">
        <f t="shared" si="33"/>
        <v>0</v>
      </c>
      <c r="AQ12" s="9"/>
      <c r="AR12" s="7"/>
      <c r="AS12" s="7">
        <f t="shared" si="34"/>
        <v>0</v>
      </c>
      <c r="AT12" s="9"/>
      <c r="AU12" s="7"/>
      <c r="AV12" s="7">
        <f t="shared" si="35"/>
        <v>0</v>
      </c>
      <c r="AW12" s="9"/>
      <c r="AX12" s="7"/>
      <c r="AY12" s="7">
        <f t="shared" si="36"/>
        <v>0</v>
      </c>
      <c r="AZ12" s="9"/>
      <c r="BA12" s="7"/>
      <c r="BB12" s="7">
        <f t="shared" si="37"/>
        <v>0</v>
      </c>
      <c r="BC12" s="9"/>
      <c r="BD12" s="7"/>
      <c r="BE12" s="7">
        <f t="shared" si="38"/>
        <v>0</v>
      </c>
      <c r="BF12" s="9"/>
      <c r="BG12" s="7"/>
      <c r="BH12" s="7">
        <f t="shared" si="39"/>
        <v>0</v>
      </c>
      <c r="BI12" s="9"/>
      <c r="BJ12" s="7"/>
      <c r="BK12" s="7">
        <f t="shared" si="40"/>
        <v>0</v>
      </c>
      <c r="BL12" s="9"/>
      <c r="BM12" s="7"/>
      <c r="BN12" s="7">
        <f t="shared" si="41"/>
        <v>0</v>
      </c>
      <c r="BO12" s="9"/>
      <c r="BP12" s="10">
        <f t="shared" si="42"/>
        <v>4</v>
      </c>
      <c r="BQ12" s="10">
        <f t="shared" si="43"/>
        <v>0</v>
      </c>
    </row>
    <row r="13" spans="2:69" ht="45.75">
      <c r="B13" s="4" t="s">
        <v>53</v>
      </c>
      <c r="C13" s="12" t="s">
        <v>40</v>
      </c>
      <c r="D13" s="17" t="s">
        <v>54</v>
      </c>
      <c r="E13" s="16" t="s">
        <v>34</v>
      </c>
      <c r="F13" s="4" t="s">
        <v>35</v>
      </c>
      <c r="G13" s="16">
        <v>6</v>
      </c>
      <c r="H13" s="7">
        <v>2</v>
      </c>
      <c r="I13" s="7">
        <f t="shared" si="22"/>
        <v>4</v>
      </c>
      <c r="J13" s="9"/>
      <c r="K13" s="7">
        <v>1.5</v>
      </c>
      <c r="L13" s="7">
        <f t="shared" si="23"/>
        <v>2.5</v>
      </c>
      <c r="M13" s="9"/>
      <c r="N13" s="7">
        <v>2.5</v>
      </c>
      <c r="O13" s="7">
        <f t="shared" si="24"/>
        <v>0</v>
      </c>
      <c r="P13" s="9"/>
      <c r="Q13" s="7"/>
      <c r="R13" s="7">
        <f t="shared" si="25"/>
        <v>0</v>
      </c>
      <c r="S13" s="9"/>
      <c r="T13" s="7"/>
      <c r="U13" s="7">
        <f t="shared" si="26"/>
        <v>0</v>
      </c>
      <c r="V13" s="9"/>
      <c r="W13" s="7"/>
      <c r="X13" s="7">
        <f t="shared" si="27"/>
        <v>0</v>
      </c>
      <c r="Y13" s="9"/>
      <c r="Z13" s="7"/>
      <c r="AA13" s="7">
        <f t="shared" si="28"/>
        <v>0</v>
      </c>
      <c r="AB13" s="9"/>
      <c r="AC13" s="7"/>
      <c r="AD13" s="7">
        <f t="shared" si="29"/>
        <v>0</v>
      </c>
      <c r="AE13" s="9"/>
      <c r="AF13" s="7"/>
      <c r="AG13" s="7">
        <f t="shared" si="30"/>
        <v>0</v>
      </c>
      <c r="AH13" s="9"/>
      <c r="AI13" s="7"/>
      <c r="AJ13" s="7">
        <f t="shared" si="31"/>
        <v>0</v>
      </c>
      <c r="AK13" s="9"/>
      <c r="AL13" s="7"/>
      <c r="AM13" s="7">
        <f t="shared" si="32"/>
        <v>0</v>
      </c>
      <c r="AN13" s="9"/>
      <c r="AO13" s="7"/>
      <c r="AP13" s="7">
        <f t="shared" si="33"/>
        <v>0</v>
      </c>
      <c r="AQ13" s="9"/>
      <c r="AR13" s="7"/>
      <c r="AS13" s="7">
        <f t="shared" si="34"/>
        <v>0</v>
      </c>
      <c r="AT13" s="9"/>
      <c r="AU13" s="7"/>
      <c r="AV13" s="7">
        <f t="shared" si="35"/>
        <v>0</v>
      </c>
      <c r="AW13" s="9"/>
      <c r="AX13" s="7"/>
      <c r="AY13" s="7">
        <f t="shared" si="36"/>
        <v>0</v>
      </c>
      <c r="AZ13" s="9"/>
      <c r="BA13" s="7"/>
      <c r="BB13" s="7">
        <f t="shared" si="37"/>
        <v>0</v>
      </c>
      <c r="BC13" s="9"/>
      <c r="BD13" s="7"/>
      <c r="BE13" s="7">
        <f t="shared" si="38"/>
        <v>0</v>
      </c>
      <c r="BF13" s="9"/>
      <c r="BG13" s="7"/>
      <c r="BH13" s="7">
        <f t="shared" si="39"/>
        <v>0</v>
      </c>
      <c r="BI13" s="9"/>
      <c r="BJ13" s="7"/>
      <c r="BK13" s="7">
        <f t="shared" si="40"/>
        <v>0</v>
      </c>
      <c r="BL13" s="9"/>
      <c r="BM13" s="7"/>
      <c r="BN13" s="7">
        <f t="shared" si="41"/>
        <v>0</v>
      </c>
      <c r="BO13" s="9"/>
      <c r="BP13" s="10">
        <f t="shared" si="42"/>
        <v>6</v>
      </c>
      <c r="BQ13" s="10">
        <f t="shared" si="43"/>
        <v>0</v>
      </c>
    </row>
    <row r="14" spans="2:69" ht="15"/>
    <row r="15" spans="2:69" ht="15"/>
    <row r="17" ht="15"/>
  </sheetData>
  <mergeCells count="22">
    <mergeCell ref="B2:C2"/>
    <mergeCell ref="BG4:BH4"/>
    <mergeCell ref="BJ4:BK4"/>
    <mergeCell ref="BM4:BN4"/>
    <mergeCell ref="BP4:BQ4"/>
    <mergeCell ref="AO4:AP4"/>
    <mergeCell ref="AR4:AS4"/>
    <mergeCell ref="AU4:AV4"/>
    <mergeCell ref="AX4:AY4"/>
    <mergeCell ref="BA4:BB4"/>
    <mergeCell ref="BD4:BE4"/>
    <mergeCell ref="AL4:AM4"/>
    <mergeCell ref="H4:I4"/>
    <mergeCell ref="K4:L4"/>
    <mergeCell ref="N4:O4"/>
    <mergeCell ref="Q4:R4"/>
    <mergeCell ref="AI4:AJ4"/>
    <mergeCell ref="T4:U4"/>
    <mergeCell ref="W4:X4"/>
    <mergeCell ref="Z4:AA4"/>
    <mergeCell ref="AC4:AD4"/>
    <mergeCell ref="AF4:AG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topLeftCell="A8" zoomScaleSheetLayoutView="100" workbookViewId="0">
      <selection activeCell="C9" sqref="C9"/>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28.9">
      <c r="B1" s="11" t="s">
        <v>55</v>
      </c>
    </row>
    <row r="2" spans="2:3" ht="21">
      <c r="B2" s="3" t="s">
        <v>56</v>
      </c>
    </row>
    <row r="4" spans="2:3">
      <c r="B4" s="1" t="s">
        <v>57</v>
      </c>
      <c r="C4" s="1" t="s">
        <v>58</v>
      </c>
    </row>
    <row r="5" spans="2:3" ht="28.9">
      <c r="B5" s="4" t="str">
        <f>'Sprint Backlog'!B5</f>
        <v>Identificador (ID) de item de product backlog</v>
      </c>
      <c r="C5" s="4" t="s">
        <v>59</v>
      </c>
    </row>
    <row r="6" spans="2:3" ht="57.6">
      <c r="B6" s="4" t="str">
        <f>'Sprint Backlog'!C5</f>
        <v>Enunciado del item de Product Backlog</v>
      </c>
      <c r="C6" s="4" t="s">
        <v>60</v>
      </c>
    </row>
    <row r="7" spans="2:3" ht="57.6">
      <c r="B7" s="4" t="s">
        <v>25</v>
      </c>
      <c r="C7" s="4" t="s">
        <v>61</v>
      </c>
    </row>
    <row r="8" spans="2:3" ht="72">
      <c r="B8" s="4" t="s">
        <v>26</v>
      </c>
      <c r="C8" s="4" t="s">
        <v>62</v>
      </c>
    </row>
    <row r="9" spans="2:3" ht="79.5" customHeight="1">
      <c r="B9" s="4" t="s">
        <v>27</v>
      </c>
      <c r="C9" s="4" t="s">
        <v>63</v>
      </c>
    </row>
    <row r="10" spans="2:3" ht="43.15">
      <c r="B10" s="4" t="s">
        <v>28</v>
      </c>
      <c r="C10" s="4" t="s">
        <v>64</v>
      </c>
    </row>
    <row r="11" spans="2:3" ht="28.9">
      <c r="B11" s="4" t="s">
        <v>65</v>
      </c>
      <c r="C11" s="4" t="s">
        <v>66</v>
      </c>
    </row>
    <row r="12" spans="2:3">
      <c r="B12" s="4" t="s">
        <v>29</v>
      </c>
      <c r="C12" s="4" t="s">
        <v>67</v>
      </c>
    </row>
    <row r="13" spans="2:3" ht="43.15">
      <c r="B13" s="4" t="s">
        <v>30</v>
      </c>
      <c r="C13" s="4" t="s">
        <v>68</v>
      </c>
    </row>
    <row r="14" spans="2:3" ht="28.9">
      <c r="B14" s="4" t="s">
        <v>22</v>
      </c>
      <c r="C14" s="4" t="s">
        <v>69</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DANITSA MILENKA CHANDIA CELIS</cp:lastModifiedBy>
  <cp:revision/>
  <dcterms:created xsi:type="dcterms:W3CDTF">2012-09-02T03:53:17Z</dcterms:created>
  <dcterms:modified xsi:type="dcterms:W3CDTF">2025-11-25T20:18:27Z</dcterms:modified>
  <cp:category/>
  <cp:contentStatus/>
</cp:coreProperties>
</file>